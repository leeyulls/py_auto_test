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7대분야_종합이슈" sheetId="1" state="visible" r:id="rId1"/>
    <sheet xmlns:r="http://schemas.openxmlformats.org/officeDocument/2006/relationships" name="시장지표_및_환율" sheetId="2" state="visible" r:id="rId2"/>
    <sheet xmlns:r="http://schemas.openxmlformats.org/officeDocument/2006/relationships" name="종목분석_매매추천" sheetId="3" state="visible" r:id="rId3"/>
    <sheet xmlns:r="http://schemas.openxmlformats.org/officeDocument/2006/relationships" name="코인분석_매매추천" sheetId="4" state="visible" r:id="rId4"/>
    <sheet xmlns:r="http://schemas.openxmlformats.org/officeDocument/2006/relationships" name="증권사_공식리포트_Top10" sheetId="5" state="visible" r:id="rId5"/>
    <sheet xmlns:r="http://schemas.openxmlformats.org/officeDocument/2006/relationships" name="추천성과_사후검증" sheetId="6" state="visible" r:id="rId6"/>
    <sheet xmlns:r="http://schemas.openxmlformats.org/officeDocument/2006/relationships" name="특수공시_DART_KIND" sheetId="7" state="visible" r:id="rId7"/>
    <sheet xmlns:r="http://schemas.openxmlformats.org/officeDocument/2006/relationships" name="오늘의_심층_리포트" sheetId="8" state="visible" r:id="rId8"/>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맑은 고딕"/>
      <b val="1"/>
      <color rgb="00FFFFFF"/>
      <sz val="10"/>
    </font>
    <font>
      <name val="맑은 고딕"/>
      <sz val="9"/>
    </font>
  </fonts>
  <fills count="3">
    <fill>
      <patternFill/>
    </fill>
    <fill>
      <patternFill patternType="gray125"/>
    </fill>
    <fill>
      <patternFill patternType="solid">
        <fgColor rgb="001E3A8A"/>
        <bgColor rgb="001E3A8A"/>
      </patternFill>
    </fill>
  </fills>
  <borders count="3">
    <border>
      <left/>
      <right/>
      <top/>
      <bottom/>
      <diagonal/>
    </border>
    <border>
      <left style="thin"/>
      <right style="thin"/>
      <top style="thin"/>
      <bottom style="thin"/>
    </border>
    <border>
      <left style="thin">
        <color rgb="00E2E8F0"/>
      </left>
      <right style="thin">
        <color rgb="00E2E8F0"/>
      </right>
      <top style="thin">
        <color rgb="00E2E8F0"/>
      </top>
      <bottom style="thin">
        <color rgb="00E2E8F0"/>
      </bottom>
    </border>
  </borders>
  <cellStyleXfs count="1">
    <xf numFmtId="0" fontId="0" fillId="0" borderId="0"/>
  </cellStyleXfs>
  <cellXfs count="4">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93"/>
  <sheetViews>
    <sheetView workbookViewId="0">
      <selection activeCell="A1" sqref="A1"/>
    </sheetView>
  </sheetViews>
  <sheetFormatPr baseColWidth="8" defaultRowHeight="15"/>
  <cols>
    <col width="20" customWidth="1" min="1" max="1"/>
    <col width="32" customWidth="1" min="2" max="2"/>
    <col width="65" customWidth="1" min="3" max="3"/>
    <col width="65" customWidth="1" min="4" max="4"/>
    <col width="15" customWidth="1" min="5" max="5"/>
    <col width="53" customWidth="1" min="6" max="6"/>
    <col width="34" customWidth="1" min="7" max="7"/>
  </cols>
  <sheetData>
    <row r="1">
      <c r="A1" s="1" t="inlineStr">
        <is>
          <t>분야</t>
        </is>
      </c>
      <c r="B1" s="1" t="inlineStr">
        <is>
          <t>상태</t>
        </is>
      </c>
      <c r="C1" s="1" t="inlineStr">
        <is>
          <t>기사제목</t>
        </is>
      </c>
      <c r="D1" s="1" t="inlineStr">
        <is>
          <t>요약내용</t>
        </is>
      </c>
      <c r="E1" s="1" t="inlineStr">
        <is>
          <t>언론사</t>
        </is>
      </c>
      <c r="F1" s="1" t="inlineStr">
        <is>
          <t>링크</t>
        </is>
      </c>
      <c r="G1" s="1" t="inlineStr">
        <is>
          <t>발행일시</t>
        </is>
      </c>
    </row>
    <row r="2">
      <c r="A2" s="2" t="inlineStr">
        <is>
          <t>정치</t>
        </is>
      </c>
      <c r="B2" s="2" t="inlineStr">
        <is>
          <t>🔥 [언론사 집중 보도 (3개사)]</t>
        </is>
      </c>
      <c r="C2" s="2" t="inlineStr">
        <is>
          <t>중수·공소청장 국무회의 참석에 “공정성 훼손 우려” 목소리</t>
        </is>
      </c>
      <c r="D2" s="3" t="inlineStr">
        <is>
          <t>중수·공소청장 국무회의 참석에 “공정성 훼손 우려” 목소리.</t>
        </is>
      </c>
      <c r="E2" s="3" t="inlineStr">
        <is>
          <t>한겨레</t>
        </is>
      </c>
      <c r="F2" s="3" t="inlineStr">
        <is>
          <t>https://news.google.com/rss/articles/CBMickFVX3lxTFB3RmROVnVTYzFXU2xSSE9UVUdsbVdDN2xJaERXYnBrZ2duTGJaWXZWVUZrMHRrMjJ1RS1PY1QxSmZzak9ub0E0Nm9lMklfOVNMa3AtQ1RyTUd3aWZsaWR1X2tEVE1kNjZzLVhwLXRPQS1Sdw?oc=5</t>
        </is>
      </c>
      <c r="G2" s="3" t="inlineStr">
        <is>
          <t>Fri, 16 Oct 2026 00:22:00 GMT</t>
        </is>
      </c>
    </row>
    <row r="3">
      <c r="A3" s="2" t="inlineStr">
        <is>
          <t>정치</t>
        </is>
      </c>
      <c r="B3" s="2" t="inlineStr">
        <is>
          <t>연결 이슈 (후속)</t>
        </is>
      </c>
      <c r="C3" s="2" t="inlineStr">
        <is>
          <t>韓총리, 부천 공장 화재에 "인명구조·화재진압 최선" 지시</t>
        </is>
      </c>
      <c r="D3" s="3" t="inlineStr">
        <is>
          <t>)= 한성숙 국무총리는 16일 경기 부천시의 한 공장에서 발생한 화재와 관련 "소방청은 가용 소방력과 장비를 총동원.</t>
        </is>
      </c>
      <c r="E3" s="3" t="inlineStr">
        <is>
          <t>주요언론</t>
        </is>
      </c>
      <c r="F3" s="3" t="inlineStr">
        <is>
          <t>https://www.yna.co.kr/view/AKR20261016049400001</t>
        </is>
      </c>
      <c r="G3" s="3" t="inlineStr">
        <is>
          <t>Fri, 16 Oct 2026 10:08:27 +0900</t>
        </is>
      </c>
    </row>
    <row r="4">
      <c r="A4" s="2" t="inlineStr">
        <is>
          <t>정치</t>
        </is>
      </c>
      <c r="B4" s="2" t="inlineStr">
        <is>
          <t>신규 이슈</t>
        </is>
      </c>
      <c r="C4" s="2" t="inlineStr">
        <is>
          <t>한미 공병 손잡고 양양 대민지원…연합 작전 상호운용성 강화</t>
        </is>
      </c>
      <c r="D4" s="3" t="inlineStr">
        <is>
          <t>)= 한미 해군이 지난 12일부터 오는 21일까지 강원 양양군 현북면 일대에서 '26-2차 한미 연합 인도적 지원/.</t>
        </is>
      </c>
      <c r="E4" s="3" t="inlineStr">
        <is>
          <t>주요언론</t>
        </is>
      </c>
      <c r="F4" s="3" t="inlineStr">
        <is>
          <t>https://www.yna.co.kr/view/AKR20261016046400062</t>
        </is>
      </c>
      <c r="G4" s="3" t="inlineStr">
        <is>
          <t>Fri, 16 Oct 2026 09:57:18 +0900</t>
        </is>
      </c>
    </row>
    <row r="5">
      <c r="A5" s="2" t="inlineStr">
        <is>
          <t>정치</t>
        </is>
      </c>
      <c r="B5" s="2" t="inlineStr">
        <is>
          <t>🔥 [언론사 집중 보도 (3개사)]</t>
        </is>
      </c>
      <c r="C5" s="2" t="inlineStr">
        <is>
          <t>李대통령 "국무회의 전부 비공개 동의못해…행정 공개가 원칙"</t>
        </is>
      </c>
      <c r="D5" s="3" t="inlineStr">
        <is>
          <t>)= 이재명 대통령은 16일 "국무회의를 전부 비공개하자는 일각의 주장에 저는 동의할 수 없다"며 "국무회의 회의록.</t>
        </is>
      </c>
      <c r="E5" s="3" t="inlineStr">
        <is>
          <t>주요언론</t>
        </is>
      </c>
      <c r="F5" s="3" t="inlineStr">
        <is>
          <t>https://www.yna.co.kr/view/AKR20261016044700001</t>
        </is>
      </c>
      <c r="G5" s="3" t="inlineStr">
        <is>
          <t>Fri, 16 Oct 2026 09:48:18 +0900</t>
        </is>
      </c>
    </row>
    <row r="6">
      <c r="A6" s="2" t="inlineStr">
        <is>
          <t>사회/사건사고</t>
        </is>
      </c>
      <c r="B6" s="2" t="inlineStr">
        <is>
          <t>연결 이슈 (후속)</t>
        </is>
      </c>
      <c r="C6" s="2" t="inlineStr">
        <is>
          <t>전작권 전환 “새 기준” 밝힌 미국…국방부 “골대 옮기면 영원히 불가”</t>
        </is>
      </c>
      <c r="D6" s="3" t="inlineStr">
        <is>
          <t>전작권 전환 “새 기준” 밝힌 미국국방부 “골대 옮기면 영원히 불가”. 아울러 주한미군사령관, 사흘 연속 작심 발언 여권 "저 입 막으라" 반발.</t>
        </is>
      </c>
      <c r="E6" s="3" t="inlineStr">
        <is>
          <t>한겨레</t>
        </is>
      </c>
      <c r="F6" s="3" t="inlineStr">
        <is>
          <t>https://news.google.com/rss/articles/CBMiaEFVX3lxTE1TMXdBbTI3bkhxQjFmaE45Y1BDWmx3N2phSmZyTzljckU5d0tuT3BPSHZUWEhoS0NuNnBQYXk0Z05faFNNZkJWbWFhWUtEdXdXRzVoS3gtVzdfNW0weGd1YTVmNFoyQTlT?oc=5</t>
        </is>
      </c>
      <c r="G6" s="3" t="inlineStr">
        <is>
          <t>Thu, 15 Oct 2026 15:56:00 GMT</t>
        </is>
      </c>
    </row>
    <row r="7">
      <c r="A7" s="2" t="inlineStr">
        <is>
          <t>사회/사건사고</t>
        </is>
      </c>
      <c r="B7" s="2" t="inlineStr">
        <is>
          <t>🔥 [언론사 집중 보도 (3개사)]</t>
        </is>
      </c>
      <c r="C7" s="2" t="inlineStr">
        <is>
          <t>[단독] 한강버스 리베이트 의혹 간부, 서울시 감사 중에도 SH 임원 '영전'</t>
        </is>
      </c>
      <c r="D7" s="3" t="inlineStr">
        <is>
          <t>한강버스 리베이트 의혹 간부, 서울시 감사 중에도 SH 임원 '영전'.</t>
        </is>
      </c>
      <c r="E7" s="3" t="inlineStr">
        <is>
          <t>MBC 뉴스</t>
        </is>
      </c>
      <c r="F7" s="3" t="inlineStr">
        <is>
          <t>https://news.google.com/rss/articles/CBMid0FVX3lxTE5GSTNJZV9UMTByd0N5WERpQkdUT0ltZ3k2a3lITF80Si15c3VIUEVHR3VRN3BvNk5ETVBBMGJlakFwNktTeEhuZmptVFNMYm1ZYld1cEwyRTY3OUpqQlRDSFpMeFZVTDlwRERhd2hydnJ0RnNQVENN0gF3QVVfeXFMT01EWkRPSy1wZ2VsX0lIQVYxMk5MN2RDZUlkVjJtRDROWkdiWUhISDVJbUxwVVBWblJLQUwycFQwSW00MDlNRFg4bXQwb1dnWDdJSXJyZG9TV3hwaWpvZHFOdE10ZHZOLW9Ed0tsSWNjbHF6MTlKMEE?oc=5</t>
        </is>
      </c>
      <c r="G7" s="3" t="inlineStr">
        <is>
          <t>Thu, 15 Oct 2026 08:15:55 GMT</t>
        </is>
      </c>
    </row>
    <row r="8">
      <c r="A8" s="2" t="inlineStr">
        <is>
          <t>사회/사건사고</t>
        </is>
      </c>
      <c r="B8" s="2" t="inlineStr">
        <is>
          <t>연결 이슈 (후속)</t>
        </is>
      </c>
      <c r="C8" s="2" t="inlineStr">
        <is>
          <t>국힘 “韓美 협력 구멍 났는데 李 ‘사대 타령’…정동영 경질하라”</t>
        </is>
      </c>
      <c r="D8" s="3" t="inlineStr">
        <is>
          <t>국힘 “韓美 협력 구멍 났는데 李 ‘사대 타령’정동영 경질하라”. 아울러 미국, 한국에 “북핵정보 공유 원하면 쿠팡문제도 풀라” 요구.</t>
        </is>
      </c>
      <c r="E8" s="3" t="inlineStr">
        <is>
          <t>동아일보</t>
        </is>
      </c>
      <c r="F8" s="3" t="inlineStr">
        <is>
          <t>https://news.google.com/rss/articles/CBMid0FVX3lxTE1lQkgyYldEMERacElTUnl6SV9pZjdjaGlHcnJCS3BWUHZBQ3M1UE85d1pLQUVlbjdYX3d6T19fTEFKbEYzSE9WM1JYMVZyZnJDc0o2NzZrbHN6dFlIcm5Lbzk0dmppWVFkMWRES0lqZmx6dm8wTkxn0gFmQVVfeXFMT0pROWE0a0ZUTFhMRmE4T3o0cDJFb1dtQUZ5a0NSQW5jRGlMeVRuM19rTTk3Mk51OU5DR3pWM3VLdFlMQlpKWEJ0cVc5ZmhUQ0Iwa3NtZGVmMUtvQnJZejFyTE9yUDF3?oc=5</t>
        </is>
      </c>
      <c r="G8" s="3" t="inlineStr">
        <is>
          <t>Thu, 15 Oct 2026 01:22:00 GMT</t>
        </is>
      </c>
    </row>
    <row r="9">
      <c r="A9" s="2" t="inlineStr">
        <is>
          <t>사회/사건사고</t>
        </is>
      </c>
      <c r="B9" s="2" t="inlineStr">
        <is>
          <t>🔥 [언론사 집중 보도 (3개사)]</t>
        </is>
      </c>
      <c r="C9" s="2" t="inlineStr">
        <is>
          <t>밀양 스쿨존서 우회전 차량에 초등생 치여 숨져</t>
        </is>
      </c>
      <c r="D9" s="3" t="inlineStr">
        <is>
          <t>밀양 스쿨존서 우회전 차량에 초등생 치여 숨져.</t>
        </is>
      </c>
      <c r="E9" s="3" t="inlineStr">
        <is>
          <t>조선일보</t>
        </is>
      </c>
      <c r="F9" s="3" t="inlineStr">
        <is>
          <t>https://news.google.com/rss/articles/CBMikgFBVV95cUxNUkhONHdfT19SSTBmUEFTdkk4bUZNeHQ2aU96TW81cFBJYUhVeDZUcDNBdUhpc0Y1bkdDSUdBWnZKUWw5OEhuaXowYmk5TkJFU01FTkM5VHl5TVNnSWUtN1dGVHM1eTI4aWpkMUtWOF9KejI0NTg4RGhmbXFwaDJKMFdiUVh4bWlDaXc1NUR3c2RxUQ?oc=5</t>
        </is>
      </c>
      <c r="G9" s="3" t="inlineStr">
        <is>
          <t>Thu, 15 Oct 2026 12:57:00 GMT</t>
        </is>
      </c>
    </row>
    <row r="10">
      <c r="A10" s="2" t="inlineStr">
        <is>
          <t>사회/사건사고</t>
        </is>
      </c>
      <c r="B10" s="2" t="inlineStr">
        <is>
          <t>🔥 [언론사 집중 보도 (4개사)]</t>
        </is>
      </c>
      <c r="C10" s="2" t="inlineStr">
        <is>
          <t>“국민연금, 삼전닉스 왜 안팔았죠?” 비판…이사장 답변 들어보니</t>
        </is>
      </c>
      <c r="D10" s="3" t="inlineStr">
        <is>
          <t>“국민연금, 삼전닉스 왜 안팔았죠?” 비판이사장 답변 들어보니. 아울러 비쌀 때 안 팔더니, 폭락장에서 안전판 기능 잃은 국민연금.</t>
        </is>
      </c>
      <c r="E10" s="3" t="inlineStr">
        <is>
          <t>매일경제</t>
        </is>
      </c>
      <c r="F10" s="3" t="inlineStr">
        <is>
          <t>https://news.google.com/rss/articles/CBMiUkFVX3lxTE1QcDVxVlozV2RlaW8zRWR4b2gtSkxac1d3VmltVWhDenRBUzhjWkh2dHhnaDFHRjdVZG9qYzRMOXRNUzhrU0U2emVBUl82V1BMd1E?oc=5</t>
        </is>
      </c>
      <c r="G10" s="3" t="inlineStr">
        <is>
          <t>Wed, 14 Oct 2026 20:42:42 GMT</t>
        </is>
      </c>
    </row>
    <row r="11">
      <c r="A11" s="2" t="inlineStr">
        <is>
          <t>사회/사건사고</t>
        </is>
      </c>
      <c r="B11" s="2" t="inlineStr">
        <is>
          <t>연결 이슈 (후속)</t>
        </is>
      </c>
      <c r="C11" s="2" t="inlineStr">
        <is>
          <t>[만물상] 유홍준 관장의 ‘오류’와 ‘은폐’</t>
        </is>
      </c>
      <c r="D11" s="3" t="inlineStr">
        <is>
          <t>유홍준 관장의 ‘오류’와 ‘은폐’.</t>
        </is>
      </c>
      <c r="E11" s="3" t="inlineStr">
        <is>
          <t>조선일보</t>
        </is>
      </c>
      <c r="F11" s="3" t="inlineStr">
        <is>
          <t>https://news.google.com/rss/articles/CBMihwFBVV95cUxQQ2dLWWV2WkpLSmdPZERESWkxanNjd1ZQY0ZrVjI1TTNtNWFESlA2Zi1fZHJqMDdkel9jZGJLQnFyaUVySUZYQmtIZlZfTWNLTERFSkpOQS1DdU1wWEtteWNmZ2hqZjVPYzFIbTJKc0JhWm45RDcwZkt5SUNhaTZSWHVVZUdoamM?oc=5</t>
        </is>
      </c>
      <c r="G11" s="3" t="inlineStr">
        <is>
          <t>Thu, 15 Oct 2026 11:47:04 GMT</t>
        </is>
      </c>
    </row>
    <row r="12">
      <c r="A12" s="2" t="inlineStr">
        <is>
          <t>사회/사건사고</t>
        </is>
      </c>
      <c r="B12" s="2" t="inlineStr">
        <is>
          <t>🔥 [언론사 집중 보도 (3개사)]</t>
        </is>
      </c>
      <c r="C12" s="2" t="inlineStr">
        <is>
          <t>국회, 오늘 서울고등법원·서울중앙지법 대상 국감 진행</t>
        </is>
      </c>
      <c r="D12" s="3" t="inlineStr">
        <is>
          <t>국회, 오늘 서울고등법원·서울중앙지법 대상 국감 진행. 아울러 KBS·MBC 경영진부터 李·尹 재판까지여야, 국감 2주차 마지막날도 격돌.</t>
        </is>
      </c>
      <c r="E12" s="3" t="inlineStr">
        <is>
          <t>KBS 뉴스</t>
        </is>
      </c>
      <c r="F12" s="3" t="inlineStr">
        <is>
          <t>https://news.google.com/rss/articles/CBMiW0FVX3lxTE5ucy1UdURvd2xVVWNCM0xWdEJhbFR6WHJOVjRFcU9LNUhLWTdfX3dfZHUxWjh0YlVobHl3OVJtRkNqalJScElsSDNzcVlkVmQzeDZXUi1QaldmS0k?oc=5</t>
        </is>
      </c>
      <c r="G12" s="3" t="inlineStr">
        <is>
          <t>Thu, 15 Oct 2026 16:01:00 GMT</t>
        </is>
      </c>
    </row>
    <row r="13">
      <c r="A13" s="2" t="inlineStr">
        <is>
          <t>사회/사건사고</t>
        </is>
      </c>
      <c r="B13" s="2" t="inlineStr">
        <is>
          <t>🔥 [언론사 집중 보도 (6개사)]</t>
        </is>
      </c>
      <c r="C13" s="2" t="inlineStr">
        <is>
          <t>수능서 'AI 안경' 착용만 해도 시험 무효·내년 응시자격 정지</t>
        </is>
      </c>
      <c r="D13" s="3" t="inlineStr">
        <is>
          <t>수능서 'AI 안경' 착용만 해도 시험 무효·내년 응시자격 정지.</t>
        </is>
      </c>
      <c r="E13" s="3" t="inlineStr">
        <is>
          <t>연합뉴스</t>
        </is>
      </c>
      <c r="F13" s="3" t="inlineStr">
        <is>
          <t>https://news.google.com/rss/articles/CBMiW0FVX3lxTFBuSGFWRmlKZGdoVl9mQW9BNUtGOHZvVTYyMDE0V3JHM2RrSXRjRERrTWp4cjJHZUhaYnp5Wml5VUdYUFVCMG44VF9QYTVwZDR5RVlMeWpObkxPcFXSAWBBVV95cUxPVW5RUXhoVjJ0c01CN1p0MlFXakw2blVRRU1RVGFQVV8xMEJGblNKZURuWFZjREMtc0FaY21vQS0zTXl4b2RHWnJZQXBLT0xnWU9kYy16b19IX1pRXzZqOHI?oc=5</t>
        </is>
      </c>
      <c r="G13" s="3" t="inlineStr">
        <is>
          <t>Thu, 15 Oct 2026 05:17:46 GMT</t>
        </is>
      </c>
    </row>
    <row r="14">
      <c r="A14" s="2" t="inlineStr">
        <is>
          <t>사회/사건사고</t>
        </is>
      </c>
      <c r="B14" s="2" t="inlineStr">
        <is>
          <t>신규 이슈</t>
        </is>
      </c>
      <c r="C14" s="2" t="inlineStr">
        <is>
          <t>울주군, 아동범죄 예방 위해 호신용 경보기 1만2천개 지원</t>
        </is>
      </c>
      <c r="D14" s="3" t="inlineStr">
        <is>
          <t>)= 울산 울주군은 16일 아동 대상 범죄 예방과 안전한 지역사회 조성을 위해 울주군 치안협의회에 호신용 경보기.</t>
        </is>
      </c>
      <c r="E14" s="3" t="inlineStr">
        <is>
          <t>주요언론</t>
        </is>
      </c>
      <c r="F14" s="3" t="inlineStr">
        <is>
          <t>https://www.yna.co.kr/view/AKR20261016053200057</t>
        </is>
      </c>
      <c r="G14" s="3" t="inlineStr">
        <is>
          <t>Fri, 16 Oct 2026 10:19:53 +0900</t>
        </is>
      </c>
    </row>
    <row r="15">
      <c r="A15" s="2" t="inlineStr">
        <is>
          <t>사회/사건사고</t>
        </is>
      </c>
      <c r="B15" s="2" t="inlineStr">
        <is>
          <t>연결 이슈 (후속)</t>
        </is>
      </c>
      <c r="C15" s="2" t="inlineStr">
        <is>
          <t>송파구, 17∼18일 시장·상점가 3곳서 야간 음식문화 축제</t>
        </is>
      </c>
      <c r="D15" s="3" t="inlineStr">
        <is>
          <t>)= 서울 송파구 는 지역 상권에 활력을 불어넣고자 오는 17∼18일 석촌시장과 풍납시장, 문정동로데.</t>
        </is>
      </c>
      <c r="E15" s="3" t="inlineStr">
        <is>
          <t>주요언론</t>
        </is>
      </c>
      <c r="F15" s="3" t="inlineStr">
        <is>
          <t>https://www.yna.co.kr/view/AKR20261016055600004</t>
        </is>
      </c>
      <c r="G15" s="3" t="inlineStr">
        <is>
          <t>Fri, 16 Oct 2026 10:19:41 +0900</t>
        </is>
      </c>
    </row>
    <row r="16">
      <c r="A16" s="2" t="inlineStr">
        <is>
          <t>사회/사건사고</t>
        </is>
      </c>
      <c r="B16" s="2" t="inlineStr">
        <is>
          <t>신규 이슈</t>
        </is>
      </c>
      <c r="C16" s="2" t="inlineStr">
        <is>
          <t>서울시, 주택정책 20년 되짚는 백서…"박원순 시정기 43만호 증발"</t>
        </is>
      </c>
      <c r="D16" s="3" t="inlineStr">
        <is>
          <t>)= 서울시가 지난 20년간 주택공급 정책을 되짚는 백서를 내놓고 박원순 전 시장 재임기 대규모 정비구역 해제와.</t>
        </is>
      </c>
      <c r="E16" s="3" t="inlineStr">
        <is>
          <t>주요언론</t>
        </is>
      </c>
      <c r="F16" s="3" t="inlineStr">
        <is>
          <t>https://www.yna.co.kr/view/AKR20261016037400004</t>
        </is>
      </c>
      <c r="G16" s="3" t="inlineStr">
        <is>
          <t>Fri, 16 Oct 2026 10:19:07 +0900</t>
        </is>
      </c>
    </row>
    <row r="17">
      <c r="A17" s="2" t="inlineStr">
        <is>
          <t>사회/사건사고</t>
        </is>
      </c>
      <c r="B17" s="2" t="inlineStr">
        <is>
          <t>신규 이슈</t>
        </is>
      </c>
      <c r="C17" s="2" t="inlineStr">
        <is>
          <t>[속보] 역대최악 '경북산불' 낸 60대 실화자 항소심도 집행유예</t>
        </is>
      </c>
      <c r="D17" s="3" t="inlineStr">
        <is>
          <t>역대최악 경북산불 낸 60대 실화자 항소심도 집행유예 소식이 전해진 가운데, 관련 당사자들의 공식 입장과 향후 대응 방향 및 일정에 대한 심층 보도가 이어지고 있습니다.</t>
        </is>
      </c>
      <c r="E17" s="3" t="inlineStr">
        <is>
          <t>주요언론</t>
        </is>
      </c>
      <c r="F17" s="3" t="inlineStr">
        <is>
          <t>https://www.yna.co.kr/view/AKR20261016055000053</t>
        </is>
      </c>
      <c r="G17" s="3" t="inlineStr">
        <is>
          <t>Fri, 16 Oct 2026 10:17:42 +0900</t>
        </is>
      </c>
    </row>
    <row r="18">
      <c r="A18" s="2" t="inlineStr">
        <is>
          <t>사회/사건사고</t>
        </is>
      </c>
      <c r="B18" s="2" t="inlineStr">
        <is>
          <t>신규 이슈</t>
        </is>
      </c>
      <c r="C18" s="2" t="inlineStr">
        <is>
          <t>영암 대불산단 조선업 내·외국인 어울림 한마당</t>
        </is>
      </c>
      <c r="D18" s="3" t="inlineStr">
        <is>
          <t>)=재협동조합은 오는 18일 전남광주 영암 대불종합체육공원에서 대불산단 조선업 내·외국인 어울림.</t>
        </is>
      </c>
      <c r="E18" s="3" t="inlineStr">
        <is>
          <t>주요언론</t>
        </is>
      </c>
      <c r="F18" s="3" t="inlineStr">
        <is>
          <t>https://www.yna.co.kr/view/AKR20261016054300054</t>
        </is>
      </c>
      <c r="G18" s="3" t="inlineStr">
        <is>
          <t>Fri, 16 Oct 2026 10:17:35 +0900</t>
        </is>
      </c>
    </row>
    <row r="19">
      <c r="A19" s="2" t="inlineStr">
        <is>
          <t>사회/사건사고</t>
        </is>
      </c>
      <c r="B19" s="2" t="inlineStr">
        <is>
          <t>🔥 [언론사 집중 보도 (4개사)]</t>
        </is>
      </c>
      <c r="C19" s="2" t="inlineStr">
        <is>
          <t>[1보] 경찰, '딸 교수 임용 의혹' 유승민 전 의원 등 4명 송치</t>
        </is>
      </c>
      <c r="D19" s="3" t="inlineStr">
        <is>
          <t>경찰, 딸 교수 임용 의혹 유승민 전 의원 등 4명 송치 소식이 전해진 가운데, 관련 당사자들의 공식 입장과 향후 대응 방향 및 일정에 대한 심층 보도가 이어지고 있습니다.</t>
        </is>
      </c>
      <c r="E19" s="3" t="inlineStr">
        <is>
          <t>주요언론</t>
        </is>
      </c>
      <c r="F19" s="3" t="inlineStr">
        <is>
          <t>https://www.yna.co.kr/view/AKR20261016054100065</t>
        </is>
      </c>
      <c r="G19" s="3" t="inlineStr">
        <is>
          <t>Fri, 16 Oct 2026 10:14:08 +0900</t>
        </is>
      </c>
    </row>
    <row r="20">
      <c r="A20" s="2" t="inlineStr">
        <is>
          <t>사회/사건사고</t>
        </is>
      </c>
      <c r="B20" s="2" t="inlineStr">
        <is>
          <t>연결 이슈 (후속)</t>
        </is>
      </c>
      <c r="C20" s="2" t="inlineStr">
        <is>
          <t>[속보] 소방당국 "부천 공장 화재 진압중 소방관 중상…병원 이송"</t>
        </is>
      </c>
      <c r="D20" s="3" t="inlineStr">
        <is>
          <t>소방당국 부천 공장 화재 진압중 소방관 중상…병원 이송 소식이 전해진 가운데, 관련 당사자들의 공식 입장과 향후 대응 방향 및 일정에 대한 심층 보도가 이어지고 있습니다.</t>
        </is>
      </c>
      <c r="E20" s="3" t="inlineStr">
        <is>
          <t>주요언론</t>
        </is>
      </c>
      <c r="F20" s="3" t="inlineStr">
        <is>
          <t>https://www.yna.co.kr/view/AKR20261016053900065</t>
        </is>
      </c>
      <c r="G20" s="3" t="inlineStr">
        <is>
          <t>Fri, 16 Oct 2026 10:13:52 +0900</t>
        </is>
      </c>
    </row>
    <row r="21">
      <c r="A21" s="2" t="inlineStr">
        <is>
          <t>사회/사건사고</t>
        </is>
      </c>
      <c r="B21" s="2" t="inlineStr">
        <is>
          <t>신규 이슈</t>
        </is>
      </c>
      <c r="C21" s="2" t="inlineStr">
        <is>
          <t>전북서 올해 첫 쯔쯔가무시증 매개 '털진드기' 확인</t>
        </is>
      </c>
      <c r="D21" s="3" t="inlineStr">
        <is>
          <t>)= 전북도보건환경연구원은 가을철 대표적인 진드기 매개 감염병인 쯔쯔가무시증을 유발하는 털진드기 유충이 도내에서.</t>
        </is>
      </c>
      <c r="E21" s="3" t="inlineStr">
        <is>
          <t>주요언론</t>
        </is>
      </c>
      <c r="F21" s="3" t="inlineStr">
        <is>
          <t>https://www.yna.co.kr/view/AKR20261016053300055</t>
        </is>
      </c>
      <c r="G21" s="3" t="inlineStr">
        <is>
          <t>Fri, 16 Oct 2026 10:12:52 +0900</t>
        </is>
      </c>
    </row>
    <row r="22">
      <c r="A22" s="2" t="inlineStr">
        <is>
          <t>사회/사건사고</t>
        </is>
      </c>
      <c r="B22" s="2" t="inlineStr">
        <is>
          <t>🔥 [언론사 집중 보도 (3개사)]</t>
        </is>
      </c>
      <c r="C22" s="2" t="inlineStr">
        <is>
          <t>경남교육청-서울교육청, '농어촌유학' 맞손…내년 3월 본격 운영</t>
        </is>
      </c>
      <c r="D22" s="3" t="inlineStr">
        <is>
          <t>)= 경남도교육청과 서울시교육청은 16일 2026년 대한민국교육감협의회 간담회가 열린 제주도 서귀포시 그랜드조선.</t>
        </is>
      </c>
      <c r="E22" s="3" t="inlineStr">
        <is>
          <t>주요언론</t>
        </is>
      </c>
      <c r="F22" s="3" t="inlineStr">
        <is>
          <t>https://www.yna.co.kr/view/AKR20261016050600052</t>
        </is>
      </c>
      <c r="G22" s="3" t="inlineStr">
        <is>
          <t>Fri, 16 Oct 2026 10:09:00 +0900</t>
        </is>
      </c>
    </row>
    <row r="23">
      <c r="A23" s="2" t="inlineStr">
        <is>
          <t>사회/사건사고</t>
        </is>
      </c>
      <c r="B23" s="2" t="inlineStr">
        <is>
          <t>신규 이슈</t>
        </is>
      </c>
      <c r="C23" s="2" t="inlineStr">
        <is>
          <t>[게시판] 법원도서관, 28일 혼인·이혼 등 법률소양강좌</t>
        </is>
      </c>
      <c r="D23" s="3" t="inlineStr">
        <is>
          <t>법원도서관 은 오는 28일 관내 법마루 1층 복합문화공간에서 양나래 변호사를 초청해 '달라질 가족의 미래: 가족에서 개인으로'라.</t>
        </is>
      </c>
      <c r="E23" s="3" t="inlineStr">
        <is>
          <t>주요언론</t>
        </is>
      </c>
      <c r="F23" s="3" t="inlineStr">
        <is>
          <t>https://www.yna.co.kr/view/AKR20261016050300004</t>
        </is>
      </c>
      <c r="G23" s="3" t="inlineStr">
        <is>
          <t>Fri, 16 Oct 2026 10:05:09 +0900</t>
        </is>
      </c>
    </row>
    <row r="24">
      <c r="A24" s="2" t="inlineStr">
        <is>
          <t>사회/사건사고</t>
        </is>
      </c>
      <c r="B24" s="2" t="inlineStr">
        <is>
          <t>신규 이슈</t>
        </is>
      </c>
      <c r="C24" s="2" t="inlineStr">
        <is>
          <t>[게시판] 경기여고 '자랑스러운 경기인'에 강인숙·강은교</t>
        </is>
      </c>
      <c r="D24" s="3" t="inlineStr">
        <is>
          <t>경기여자고등학교 동창회 경운회는 제33회 '자랑스러운 경기인' 수상자로 강인숙 영인문학관 관장과 강은교 시인을 선정했다고 16.</t>
        </is>
      </c>
      <c r="E24" s="3" t="inlineStr">
        <is>
          <t>주요언론</t>
        </is>
      </c>
      <c r="F24" s="3" t="inlineStr">
        <is>
          <t>https://www.yna.co.kr/view/AKR20261016049800004</t>
        </is>
      </c>
      <c r="G24" s="3" t="inlineStr">
        <is>
          <t>Fri, 16 Oct 2026 10:03:42 +0900</t>
        </is>
      </c>
    </row>
    <row r="25">
      <c r="A25" s="2" t="inlineStr">
        <is>
          <t>사회/사건사고</t>
        </is>
      </c>
      <c r="B25" s="2" t="inlineStr">
        <is>
          <t>신규 이슈</t>
        </is>
      </c>
      <c r="C25" s="2" t="inlineStr">
        <is>
          <t>울산 북구, 울산숲서 일자리박람회…제조업체 현장 채용면접</t>
        </is>
      </c>
      <c r="D25" s="3" t="inlineStr">
        <is>
          <t>)= 울산 북구는 오는 20일 오후 1시 30분 울산숲 옛 호계역 일원에서 일자리박람회를 연다고 16일 밝혔다.</t>
        </is>
      </c>
      <c r="E25" s="3" t="inlineStr">
        <is>
          <t>주요언론</t>
        </is>
      </c>
      <c r="F25" s="3" t="inlineStr">
        <is>
          <t>https://www.yna.co.kr/view/AKR20261016048200057</t>
        </is>
      </c>
      <c r="G25" s="3" t="inlineStr">
        <is>
          <t>Fri, 16 Oct 2026 10:02:33 +0900</t>
        </is>
      </c>
    </row>
    <row r="26">
      <c r="A26" s="2" t="inlineStr">
        <is>
          <t>사회/사건사고</t>
        </is>
      </c>
      <c r="B26" s="2" t="inlineStr">
        <is>
          <t>🔥 [언론사 집중 보도 (5개사)]</t>
        </is>
      </c>
      <c r="C26" s="2" t="inlineStr">
        <is>
          <t>강간죄 '항거 불능' 기준 47년 만에 바뀔까…대법 전합서 심리</t>
        </is>
      </c>
      <c r="D26" s="3" t="inlineStr">
        <is>
          <t>)= 강간죄 성립에 필요한 폭행·협박의 수준을 엄격하게 해석해 온 대법원 판례가 전원합의체 판단을 받는다.</t>
        </is>
      </c>
      <c r="E26" s="3" t="inlineStr">
        <is>
          <t>주요언론</t>
        </is>
      </c>
      <c r="F26" s="3" t="inlineStr">
        <is>
          <t>https://www.yna.co.kr/view/AKR20261016048700004</t>
        </is>
      </c>
      <c r="G26" s="3" t="inlineStr">
        <is>
          <t>Fri, 16 Oct 2026 10:01:28 +0900</t>
        </is>
      </c>
    </row>
    <row r="27">
      <c r="A27" s="2" t="inlineStr">
        <is>
          <t>사회/사건사고</t>
        </is>
      </c>
      <c r="B27" s="2" t="inlineStr">
        <is>
          <t>연결 이슈 (후속)</t>
        </is>
      </c>
      <c r="C27" s="2" t="inlineStr">
        <is>
          <t>동해시,고향사랑기부제 답례품 12종 추가…지역경제 효과 기대</t>
        </is>
      </c>
      <c r="D27" s="3" t="inlineStr">
        <is>
          <t>)= 강원 동해시는 고향사랑기부제 참여자들에게 한층 다양하고 풍성한 답례품을 제공하고자 신규 답례품 12종을 추가로.</t>
        </is>
      </c>
      <c r="E27" s="3" t="inlineStr">
        <is>
          <t>주요언론</t>
        </is>
      </c>
      <c r="F27" s="3" t="inlineStr">
        <is>
          <t>https://www.yna.co.kr/view/AKR20261016049600062</t>
        </is>
      </c>
      <c r="G27" s="3" t="inlineStr">
        <is>
          <t>Fri, 16 Oct 2026 10:01:12 +0900</t>
        </is>
      </c>
    </row>
    <row r="28">
      <c r="A28" s="2" t="inlineStr">
        <is>
          <t>사회/사건사고</t>
        </is>
      </c>
      <c r="B28" s="2" t="inlineStr">
        <is>
          <t>신규 이슈</t>
        </is>
      </c>
      <c r="C28" s="2" t="inlineStr">
        <is>
          <t>심정지 골든타임 '4분'…"심폐소생술 익히고, 주저 말고 행동"</t>
        </is>
      </c>
      <c r="D28" s="3" t="inlineStr">
        <is>
          <t>)= 질병관리청은 세계 심장소생의 날을 맞아 심폐소생술 시행의 중요성을 알리고, 국민의 적극적인 행동을 유도하기.</t>
        </is>
      </c>
      <c r="E28" s="3" t="inlineStr">
        <is>
          <t>주요언론</t>
        </is>
      </c>
      <c r="F28" s="3" t="inlineStr">
        <is>
          <t>https://www.yna.co.kr/view/AKR20261016047600530</t>
        </is>
      </c>
      <c r="G28" s="3" t="inlineStr">
        <is>
          <t>Fri, 16 Oct 2026 10:00:23 +0900</t>
        </is>
      </c>
    </row>
    <row r="29">
      <c r="A29" s="2" t="inlineStr">
        <is>
          <t>사회/사건사고</t>
        </is>
      </c>
      <c r="B29" s="2" t="inlineStr">
        <is>
          <t>신규 이슈</t>
        </is>
      </c>
      <c r="C29" s="2" t="inlineStr">
        <is>
          <t>대치쌍용1차·잠실우성4차 재건축 탄력…서울시 통합심의 통과</t>
        </is>
      </c>
      <c r="D29" s="3" t="inlineStr">
        <is>
          <t>)= 서울 강남구 대치쌍용1차아파트와 송파구 잠실우성4차아파트 재건축 사업이 서울시 통합심의를 통과하면서 속도를.</t>
        </is>
      </c>
      <c r="E29" s="3" t="inlineStr">
        <is>
          <t>주요언론</t>
        </is>
      </c>
      <c r="F29" s="3" t="inlineStr">
        <is>
          <t>https://www.yna.co.kr/view/AKR20261016027200004</t>
        </is>
      </c>
      <c r="G29" s="3" t="inlineStr">
        <is>
          <t>Fri, 16 Oct 2026 10:00:03 +0900</t>
        </is>
      </c>
    </row>
    <row r="30">
      <c r="A30" s="2" t="inlineStr">
        <is>
          <t>사회/사건사고</t>
        </is>
      </c>
      <c r="B30" s="2" t="inlineStr">
        <is>
          <t>신규 이슈</t>
        </is>
      </c>
      <c r="C30" s="2" t="inlineStr">
        <is>
          <t>자동차세·과태료 상습체납 합동단속…번호판 1천948개 영치</t>
        </is>
      </c>
      <c r="D30" s="3" t="inlineStr">
        <is>
          <t>)= 행정안전부는 15일 경찰청, 한국도로공사와 합동으로 주요 고속도로 요금소 9곳 등에서 자동차세와 차량 관련.</t>
        </is>
      </c>
      <c r="E30" s="3" t="inlineStr">
        <is>
          <t>주요언론</t>
        </is>
      </c>
      <c r="F30" s="3" t="inlineStr">
        <is>
          <t>https://www.yna.co.kr/view/AKR20261016018700530</t>
        </is>
      </c>
      <c r="G30" s="3" t="inlineStr">
        <is>
          <t>Fri, 16 Oct 2026 10:00:03 +0900</t>
        </is>
      </c>
    </row>
    <row r="31">
      <c r="A31" s="2" t="inlineStr">
        <is>
          <t>사회/사건사고</t>
        </is>
      </c>
      <c r="B31" s="2" t="inlineStr">
        <is>
          <t>신규 이슈</t>
        </is>
      </c>
      <c r="C31" s="2" t="inlineStr">
        <is>
          <t>"CRE 감염증 무대응시 경제적 부담 1조원, 30일 사망 3천300명"</t>
        </is>
      </c>
      <c r="D31" s="3" t="inlineStr">
        <is>
          <t>)= 질병관리청은 16일 서울에서 '2026년 의료관련감염 예방관리 주간' 토론회를 열고 다제 내성균 통합관리 방안.</t>
        </is>
      </c>
      <c r="E31" s="3" t="inlineStr">
        <is>
          <t>주요언론</t>
        </is>
      </c>
      <c r="F31" s="3" t="inlineStr">
        <is>
          <t>https://www.yna.co.kr/view/AKR20261016038500530</t>
        </is>
      </c>
      <c r="G31" s="3" t="inlineStr">
        <is>
          <t>Fri, 16 Oct 2026 10:00:01 +0900</t>
        </is>
      </c>
    </row>
    <row r="32">
      <c r="A32" s="2" t="inlineStr">
        <is>
          <t>거시경제/비즈니스</t>
        </is>
      </c>
      <c r="B32" s="2" t="inlineStr">
        <is>
          <t>🔥 [언론사 집중 보도 (6개사)]</t>
        </is>
      </c>
      <c r="C32" s="2" t="inlineStr">
        <is>
          <t>코스피 폭락…시장은 AI 투자의 수익성을 의심한다 [여기는 논설실]</t>
        </is>
      </c>
      <c r="D32" s="3" t="inlineStr">
        <is>
          <t>코스피 폭락시장은 AI 투자의 수익성을 의심한다.</t>
        </is>
      </c>
      <c r="E32" s="3" t="inlineStr">
        <is>
          <t>한국경제</t>
        </is>
      </c>
      <c r="F32" s="3" t="inlineStr">
        <is>
          <t>https://news.google.com/rss/articles/CBMiWkFVX3lxTFBuUTJrOTlHUmFBZzFvN2lZLTNYTE9jOVdMMFdaeGxYbGpkYTlmUi1CV1Y0WTFrc3NNV29ENHlfSDI3a1U2bzhxdHJUSzBmekJ4cFQ3VXh1dkNqUQ?oc=5</t>
        </is>
      </c>
      <c r="G32" s="3" t="inlineStr">
        <is>
          <t>Thu, 15 Oct 2026 21:00:07 GMT</t>
        </is>
      </c>
    </row>
    <row r="33">
      <c r="A33" s="2" t="inlineStr">
        <is>
          <t>거시경제/비즈니스</t>
        </is>
      </c>
      <c r="B33" s="2" t="inlineStr">
        <is>
          <t>신규 이슈</t>
        </is>
      </c>
      <c r="C33" s="2" t="inlineStr">
        <is>
          <t>테슬라 FSD, 獨 지지에 유럽서 승인 급물살… “韓은 2028년 이후에나” - 조선비즈</t>
        </is>
      </c>
      <c r="D33" s="3" t="inlineStr">
        <is>
          <t>테슬라 FSD, 獨 지지에 유럽서 승인 급물살 “韓은 2028년 이후에나” - 조선비즈.</t>
        </is>
      </c>
      <c r="E33" s="3" t="inlineStr">
        <is>
          <t>Chosunbiz</t>
        </is>
      </c>
      <c r="F33" s="3" t="inlineStr">
        <is>
          <t>https://news.google.com/rss/articles/CBMif0FVX3lxTE81UW4tTWZuSTlnZ3JLeTN2dEFZMG9CeVYtd2FnZld0Z05Qd1RiUWhULWJqdGxTcmpQTmJZc0RiZzdtcG1ZUFZpR09oRThjamQzZ2x2ZVQ0VEduWmNPUnZvajA4c0VtZXd1MC0temFaTHdXWjAzN1hSVG5Qamp0czTSAZMBQVVfeXFMTWpnVWxMcko1OTlRRWR0bzRRR013WmE4eFBMZTJISkpxWFpKcG52ajNESGdmSllnUVN6clZoVlltTkh5Tk9CVGhjbEltMTNGdDczdE12YkxVQnRpZTZLS25zZzVKRGc0SkpjVjJiZU8yNHMtSUtHNTRjX3V2WHJlc3ZfTEROTGprd3VIeEpRbnJfRVlj?oc=5</t>
        </is>
      </c>
      <c r="G33" s="3" t="inlineStr">
        <is>
          <t>Thu, 15 Oct 2026 21:00:00 GMT</t>
        </is>
      </c>
    </row>
    <row r="34">
      <c r="A34" s="2" t="inlineStr">
        <is>
          <t>거시경제/비즈니스</t>
        </is>
      </c>
      <c r="B34" s="2" t="inlineStr">
        <is>
          <t>연결 이슈 (후속)</t>
        </is>
      </c>
      <c r="C34" s="2" t="inlineStr">
        <is>
          <t>“삼전 7만, 하닉 20만원이 적정” ‘검은 목요일’에 소환된 한 애널의 분석</t>
        </is>
      </c>
      <c r="D34" s="3" t="inlineStr">
        <is>
          <t>“삼전 7만, 하닉 20만원이 적정” ‘검은 목요일’에 소환된 한 애널의 분석. 아울러 분기 영업익 세계 1위 삼성전자, 주가는 왜 또 폭락한 건데?</t>
        </is>
      </c>
      <c r="E34" s="3" t="inlineStr">
        <is>
          <t>문화일보</t>
        </is>
      </c>
      <c r="F34" s="3" t="inlineStr">
        <is>
          <t>https://news.google.com/rss/articles/CBMiUEFVX3lxTE9BSmUxVUplZFdHMTc5N0xZbmY1TnYtalBJMUo1LVA0dWtyMW9oSVhDaElLbHdISWEySFdHTEpJdDllSHdUMUo2V2ltRGh3em1J?oc=5</t>
        </is>
      </c>
      <c r="G34" s="3" t="inlineStr">
        <is>
          <t>Thu, 15 Oct 2026 06:14:56 GMT</t>
        </is>
      </c>
    </row>
    <row r="35">
      <c r="A35" s="2" t="inlineStr">
        <is>
          <t>거시경제/비즈니스</t>
        </is>
      </c>
      <c r="B35" s="2" t="inlineStr">
        <is>
          <t>연결 이슈 (후속)</t>
        </is>
      </c>
      <c r="C35" s="2" t="inlineStr">
        <is>
          <t>美, 대이란 종교기부금 송금 옥죄기…’이슬람 십일조’ 등 포함</t>
        </is>
      </c>
      <c r="D35" s="3" t="inlineStr">
        <is>
          <t>美, 대이란 종교기부금 송금 옥죄기’이슬람 십일조’ 등 포함. 아울러 "美, 경윳값 잡으려 러·이란 '그림자 선단' 제재완화도 검토".</t>
        </is>
      </c>
      <c r="E35" s="3" t="inlineStr">
        <is>
          <t>연합뉴스TV</t>
        </is>
      </c>
      <c r="F35" s="3" t="inlineStr">
        <is>
          <t>https://news.google.com/rss/articles/CBMiZ0FVX3lxTFBCZllNdjJIdEpZbzMtV1JWTHNaWXBzMVhlYnJsaEJFZzRZWF9MY2FaekI2ODI4eDMtdEo1MzNzUWM1VDBadkhrQ09yM2ZaMk5pZGVyOFo5c1BNOWFhTUxMcjFodXZsTGs?oc=5</t>
        </is>
      </c>
      <c r="G35" s="3" t="inlineStr">
        <is>
          <t>Thu, 15 Oct 2026 21:00:00 GMT</t>
        </is>
      </c>
    </row>
    <row r="36">
      <c r="A36" s="2" t="inlineStr">
        <is>
          <t>거시경제/비즈니스</t>
        </is>
      </c>
      <c r="B36" s="2" t="inlineStr">
        <is>
          <t>🔥 [언론사 집중 보도 (3개사)]</t>
        </is>
      </c>
      <c r="C36" s="2" t="inlineStr">
        <is>
          <t>지뢰밭 뚫는 로봇에 자폭 드론까지…육군, 미래 전투 모습 공개</t>
        </is>
      </c>
      <c r="D36" s="3" t="inlineStr">
        <is>
          <t>지뢰밭 뚫는 로봇에 자폭 드론까지육군, 미래 전투 모습 공개.</t>
        </is>
      </c>
      <c r="E36" s="3" t="inlineStr">
        <is>
          <t>KBS 뉴스</t>
        </is>
      </c>
      <c r="F36" s="3" t="inlineStr">
        <is>
          <t>https://news.google.com/rss/articles/CBMiW0FVX3lxTE9vdTN2Q3RVZ3VpWU5ORUh5RjJKUVpWR1c4RGRnUVZWbGhacWxHR2N1SklYcUZYRTUteXRwbUhtanJETXZKR0lIc2g4OWtMakhQeEdOamtES0pPX00?oc=5</t>
        </is>
      </c>
      <c r="G36" s="3" t="inlineStr">
        <is>
          <t>Thu, 15 Oct 2026 12:15:00 GMT</t>
        </is>
      </c>
    </row>
    <row r="37">
      <c r="A37" s="2" t="inlineStr">
        <is>
          <t>거시경제/비즈니스</t>
        </is>
      </c>
      <c r="B37" s="2" t="inlineStr">
        <is>
          <t>🔥 [언론사 집중 보도 (3개사)]</t>
        </is>
      </c>
      <c r="C37" s="2" t="inlineStr">
        <is>
          <t>[테크스냅] 네이버 치지직, 2026 LoL 월드 챔피언십 생중계</t>
        </is>
      </c>
      <c r="D37" s="3" t="inlineStr">
        <is>
          <t>)= 네이버의 스트리밍 플랫폼 치지직이 16일부터 내달 15일까지 미국에서 열리는 2026 리그 오브 레전드 월드.</t>
        </is>
      </c>
      <c r="E37" s="3" t="inlineStr">
        <is>
          <t>주요언론</t>
        </is>
      </c>
      <c r="F37" s="3" t="inlineStr">
        <is>
          <t>https://www.yna.co.kr/view/AKR20261016054000017</t>
        </is>
      </c>
      <c r="G37" s="3" t="inlineStr">
        <is>
          <t>Fri, 16 Oct 2026 10:14:45 +0900</t>
        </is>
      </c>
    </row>
    <row r="38">
      <c r="A38" s="2" t="inlineStr">
        <is>
          <t>거시경제/비즈니스</t>
        </is>
      </c>
      <c r="B38" s="2" t="inlineStr">
        <is>
          <t>연결 이슈 (후속)</t>
        </is>
      </c>
      <c r="C38" s="2" t="inlineStr">
        <is>
          <t>[게시판] 롯데카드, 육아맘 혜택 모은 '아이엔 디지로카' 출시 협약</t>
        </is>
      </c>
      <c r="D38" s="3" t="inlineStr">
        <is>
          <t>롯데카드가 지난 14일 아이베·베베쿡·청소연구소·유한킴벌리·번개장터와 육아 혜택 특화 카드인 '아이엔 디지로카' 출시를 위한 업무 협약을.</t>
        </is>
      </c>
      <c r="E38" s="3" t="inlineStr">
        <is>
          <t>주요언론</t>
        </is>
      </c>
      <c r="F38" s="3" t="inlineStr">
        <is>
          <t>https://www.yna.co.kr/view/AKR20261016046300002</t>
        </is>
      </c>
      <c r="G38" s="3" t="inlineStr">
        <is>
          <t>Fri, 16 Oct 2026 10:08:08 +0900</t>
        </is>
      </c>
    </row>
    <row r="39">
      <c r="A39" s="2" t="inlineStr">
        <is>
          <t>거시경제/비즈니스</t>
        </is>
      </c>
      <c r="B39" s="2" t="inlineStr">
        <is>
          <t>연결 이슈 (후속)</t>
        </is>
      </c>
      <c r="C39" s="2" t="inlineStr">
        <is>
          <t>카카오 "고용·근로조건 포괄승계"…인적분할 앞두고 직원설명회</t>
        </is>
      </c>
      <c r="D39" s="3" t="inlineStr">
        <is>
          <t>)= 카카오 는 16일 인적 분할 준비 상황을 공유하고 직원들의 질문에 답하기 위해 전날 사내 소통.</t>
        </is>
      </c>
      <c r="E39" s="3" t="inlineStr">
        <is>
          <t>주요언론</t>
        </is>
      </c>
      <c r="F39" s="3" t="inlineStr">
        <is>
          <t>https://www.yna.co.kr/view/AKR20261016049900017</t>
        </is>
      </c>
      <c r="G39" s="3" t="inlineStr">
        <is>
          <t>Fri, 16 Oct 2026 10:04:41 +0900</t>
        </is>
      </c>
    </row>
    <row r="40">
      <c r="A40" s="2" t="inlineStr">
        <is>
          <t>거시경제/비즈니스</t>
        </is>
      </c>
      <c r="B40" s="2" t="inlineStr">
        <is>
          <t>신규 이슈</t>
        </is>
      </c>
      <c r="C40" s="2" t="inlineStr">
        <is>
          <t>스드메 업체 17곳 '깜깜이 요금' 적발…첫 과태료 부과 조치</t>
        </is>
      </c>
      <c r="D40" s="3" t="inlineStr">
        <is>
          <t>)= 이른바 '스드메' 업체가 요금, 위약금과 환급 기준.</t>
        </is>
      </c>
      <c r="E40" s="3" t="inlineStr">
        <is>
          <t>주요언론</t>
        </is>
      </c>
      <c r="F40" s="3" t="inlineStr">
        <is>
          <t>https://www.yna.co.kr/view/AKR20261016036200002</t>
        </is>
      </c>
      <c r="G40" s="3" t="inlineStr">
        <is>
          <t>Fri, 16 Oct 2026 10:00:02 +0900</t>
        </is>
      </c>
    </row>
    <row r="41">
      <c r="A41" s="2" t="inlineStr">
        <is>
          <t>거시경제/비즈니스</t>
        </is>
      </c>
      <c r="B41" s="2" t="inlineStr">
        <is>
          <t>연결 이슈 (후속)</t>
        </is>
      </c>
      <c r="C41" s="2" t="inlineStr">
        <is>
          <t>정부·당국 "증시 변동성 감시 강화…교란 행위 엄정 대응"</t>
        </is>
      </c>
      <c r="D41" s="3" t="inlineStr">
        <is>
          <t>)= 정부와 관계 당국은 최근 변동성이 커진 증권시장 등의 실시간 합동 모니터링을 강화하고 시장 교란 행위가 있으면.</t>
        </is>
      </c>
      <c r="E41" s="3" t="inlineStr">
        <is>
          <t>주요언론</t>
        </is>
      </c>
      <c r="F41" s="3" t="inlineStr">
        <is>
          <t>https://www.yna.co.kr/view/AKR20261016046600002</t>
        </is>
      </c>
      <c r="G41" s="3" t="inlineStr">
        <is>
          <t>Fri, 16 Oct 2026 10:00:01 +0900</t>
        </is>
      </c>
    </row>
    <row r="42">
      <c r="A42" s="2" t="inlineStr">
        <is>
          <t>거시경제/비즈니스</t>
        </is>
      </c>
      <c r="B42" s="2" t="inlineStr">
        <is>
          <t>신규 이슈</t>
        </is>
      </c>
      <c r="C42" s="2" t="inlineStr">
        <is>
          <t>수원시, 싱가포르서 현지 첨단기업 대상 투자유치 설명회</t>
        </is>
      </c>
      <c r="D42" s="3" t="inlineStr">
        <is>
          <t>)= 경기 수원시는 싱가포르에서 현지 첨단기업 관계자들을 대상으로 '경제자유구역 후보지 수원지구' 투자유치설명회를.</t>
        </is>
      </c>
      <c r="E42" s="3" t="inlineStr">
        <is>
          <t>주요언론</t>
        </is>
      </c>
      <c r="F42" s="3" t="inlineStr">
        <is>
          <t>https://www.yna.co.kr/view/AKR20261016044100061</t>
        </is>
      </c>
      <c r="G42" s="3" t="inlineStr">
        <is>
          <t>Fri, 16 Oct 2026 09:55:46 +0900</t>
        </is>
      </c>
    </row>
    <row r="43">
      <c r="A43" s="2" t="inlineStr">
        <is>
          <t>거시경제/비즈니스</t>
        </is>
      </c>
      <c r="B43" s="2" t="inlineStr">
        <is>
          <t>신규 이슈</t>
        </is>
      </c>
      <c r="C43" s="2" t="inlineStr">
        <is>
          <t>한일 정상회담 계기로 경북 투자 유치전…일본 기업, 현장 방문</t>
        </is>
      </c>
      <c r="D43" s="3" t="inlineStr">
        <is>
          <t>)= 경북도는 15∼16일 안동과 영주에서 주부산 일본총영사관과 일본무역진흥기구 , 서울재팬클럽.</t>
        </is>
      </c>
      <c r="E43" s="3" t="inlineStr">
        <is>
          <t>주요언론</t>
        </is>
      </c>
      <c r="F43" s="3" t="inlineStr">
        <is>
          <t>https://www.yna.co.kr/view/AKR20261016045600053</t>
        </is>
      </c>
      <c r="G43" s="3" t="inlineStr">
        <is>
          <t>Fri, 16 Oct 2026 09:53:19 +0900</t>
        </is>
      </c>
    </row>
    <row r="44">
      <c r="A44" s="2" t="inlineStr">
        <is>
          <t>거시경제/비즈니스</t>
        </is>
      </c>
      <c r="B44" s="2" t="inlineStr">
        <is>
          <t>신규 이슈</t>
        </is>
      </c>
      <c r="C44" s="2" t="inlineStr">
        <is>
          <t>[게시판] 파리크라상, 창립기념일 맞아 결식아동 지원</t>
        </is>
      </c>
      <c r="D44" s="3" t="inlineStr">
        <is>
          <t>파리바게뜨를 운영하는 파리크라상은 창립기념일을 앞두고 결식아동을 지원하는 임직원 사회공헌 활동 '기부 앤 테이크'를 진행했다고 16일 밝혔다.</t>
        </is>
      </c>
      <c r="E44" s="3" t="inlineStr">
        <is>
          <t>주요언론</t>
        </is>
      </c>
      <c r="F44" s="3" t="inlineStr">
        <is>
          <t>https://www.yna.co.kr/view/AKR20261016046500030</t>
        </is>
      </c>
      <c r="G44" s="3" t="inlineStr">
        <is>
          <t>Fri, 16 Oct 2026 09:52:36 +0900</t>
        </is>
      </c>
    </row>
    <row r="45">
      <c r="A45" s="2" t="inlineStr">
        <is>
          <t>거시경제/비즈니스</t>
        </is>
      </c>
      <c r="B45" s="2" t="inlineStr">
        <is>
          <t>신규 이슈</t>
        </is>
      </c>
      <c r="C45" s="2" t="inlineStr">
        <is>
          <t>GS건설, 시니어 입주민 대상 '자이홈' 활용 맞춤 교육</t>
        </is>
      </c>
      <c r="D45" s="3" t="inlineStr">
        <is>
          <t>)= GS건설이 최근 자이 아파트 시니어 입주민 500여 명을 대상으로 자사의 아파트 통합 주거서비스 앱.</t>
        </is>
      </c>
      <c r="E45" s="3" t="inlineStr">
        <is>
          <t>주요언론</t>
        </is>
      </c>
      <c r="F45" s="3" t="inlineStr">
        <is>
          <t>https://www.yna.co.kr/view/AKR20261016044600003</t>
        </is>
      </c>
      <c r="G45" s="3" t="inlineStr">
        <is>
          <t>Fri, 16 Oct 2026 09:48:30 +0900</t>
        </is>
      </c>
    </row>
    <row r="46">
      <c r="A46" s="2" t="inlineStr">
        <is>
          <t>거시경제/비즈니스</t>
        </is>
      </c>
      <c r="B46" s="2" t="inlineStr">
        <is>
          <t>신규 이슈</t>
        </is>
      </c>
      <c r="C46" s="2" t="inlineStr">
        <is>
          <t>에쓰오일, 하반기 생산직 신입사원 채용…21일까지 서류 접수</t>
        </is>
      </c>
      <c r="D46" s="3" t="inlineStr">
        <is>
          <t>)= 에쓰오일은 오는 21일까지 공식 채용 홈페이지를 통해 올해 하반기 생산직 신입사원 공개채용 지원 서류를 접수한.</t>
        </is>
      </c>
      <c r="E46" s="3" t="inlineStr">
        <is>
          <t>주요언론</t>
        </is>
      </c>
      <c r="F46" s="3" t="inlineStr">
        <is>
          <t>https://www.yna.co.kr/view/AKR20261016045100003</t>
        </is>
      </c>
      <c r="G46" s="3" t="inlineStr">
        <is>
          <t>Fri, 16 Oct 2026 09:47:13 +0900</t>
        </is>
      </c>
    </row>
    <row r="47">
      <c r="A47" s="2" t="inlineStr">
        <is>
          <t>거시경제/비즈니스</t>
        </is>
      </c>
      <c r="B47" s="2" t="inlineStr">
        <is>
          <t>🔥 [언론사 집중 보도 (6개사)]</t>
        </is>
      </c>
      <c r="C47" s="2" t="inlineStr">
        <is>
          <t>AI 비서가 상품 고르고 결제까지?…NH농협카드, 안랩과 실험</t>
        </is>
      </c>
      <c r="D47" s="3" t="inlineStr">
        <is>
          <t>)= NH농협카드가 안랩블록체인컴퍼니와 손잡고 차세대 쇼핑·결제 기술 실증을 추진한다고 16일 밝혔다.</t>
        </is>
      </c>
      <c r="E47" s="3" t="inlineStr">
        <is>
          <t>주요언론</t>
        </is>
      </c>
      <c r="F47" s="3" t="inlineStr">
        <is>
          <t>https://www.yna.co.kr/view/AKR20261016043300002</t>
        </is>
      </c>
      <c r="G47" s="3" t="inlineStr">
        <is>
          <t>Fri, 16 Oct 2026 09:46:12 +0900</t>
        </is>
      </c>
    </row>
    <row r="48">
      <c r="A48" s="2" t="inlineStr">
        <is>
          <t>거시경제/비즈니스</t>
        </is>
      </c>
      <c r="B48" s="2" t="inlineStr">
        <is>
          <t>신규 이슈</t>
        </is>
      </c>
      <c r="C48" s="2" t="inlineStr">
        <is>
          <t>[게시판] 삼성카드, '다이소 삼성카드' 리뉴얼</t>
        </is>
      </c>
      <c r="D48" s="3" t="inlineStr">
        <is>
          <t>삼성카드 는 '다이소 삼성카드'를 리뉴얼하고 다이소 공식 온라인몰인 다이소몰 할인 혜택을 강화했다고 16일 밝혔다.</t>
        </is>
      </c>
      <c r="E48" s="3" t="inlineStr">
        <is>
          <t>주요언론</t>
        </is>
      </c>
      <c r="F48" s="3" t="inlineStr">
        <is>
          <t>https://www.yna.co.kr/view/AKR20261016044800002</t>
        </is>
      </c>
      <c r="G48" s="3" t="inlineStr">
        <is>
          <t>Fri, 16 Oct 2026 09:45:52 +0900</t>
        </is>
      </c>
    </row>
    <row r="49">
      <c r="A49" s="2" t="inlineStr">
        <is>
          <t>거시경제/비즈니스</t>
        </is>
      </c>
      <c r="B49" s="2" t="inlineStr">
        <is>
          <t>연결 이슈 (후속)</t>
        </is>
      </c>
      <c r="C49" s="2" t="inlineStr">
        <is>
          <t>[게시판] 빗썸, 개인정보 유출 2차 사기 예방 캠페인</t>
        </is>
      </c>
      <c r="D49" s="3" t="inlineStr">
        <is>
          <t>가상자산 거래소 빗썸은 유출된 개인정보를 악용한 2차 사기 피해 예방 캠페인을 한다고 16일 밝혔다. 개인정보 유출을 빌미로 피싱 사이트.</t>
        </is>
      </c>
      <c r="E49" s="3" t="inlineStr">
        <is>
          <t>주요언론</t>
        </is>
      </c>
      <c r="F49" s="3" t="inlineStr">
        <is>
          <t>https://www.yna.co.kr/view/AKR20261016044200002</t>
        </is>
      </c>
      <c r="G49" s="3" t="inlineStr">
        <is>
          <t>Fri, 16 Oct 2026 09:45:38 +0900</t>
        </is>
      </c>
    </row>
    <row r="50">
      <c r="A50" s="2" t="inlineStr">
        <is>
          <t>거시경제/비즈니스</t>
        </is>
      </c>
      <c r="B50" s="2" t="inlineStr">
        <is>
          <t>연결 이슈 (후속)</t>
        </is>
      </c>
      <c r="C50" s="2" t="inlineStr">
        <is>
          <t>[게시판] 신한은행, SOL트립앤샵 체크카드 이용고객에 엽떡 할인 이벤트</t>
        </is>
      </c>
      <c r="D50" s="3" t="inlineStr">
        <is>
          <t>신한은행은 오는 19일부터 25일까지 배달앱 땡겨요에서 'SOL트립앤샵 체크카드' 이용 고객을 대상으로 동대문 엽기떡볶이 1만원 할인 이벤트.</t>
        </is>
      </c>
      <c r="E50" s="3" t="inlineStr">
        <is>
          <t>주요언론</t>
        </is>
      </c>
      <c r="F50" s="3" t="inlineStr">
        <is>
          <t>https://www.yna.co.kr/view/AKR20261016043900002</t>
        </is>
      </c>
      <c r="G50" s="3" t="inlineStr">
        <is>
          <t>Fri, 16 Oct 2026 09:45:12 +0900</t>
        </is>
      </c>
    </row>
    <row r="51">
      <c r="A51" s="2" t="inlineStr">
        <is>
          <t>거시경제/비즈니스</t>
        </is>
      </c>
      <c r="B51" s="2" t="inlineStr">
        <is>
          <t>신규 이슈</t>
        </is>
      </c>
      <c r="C51" s="2" t="inlineStr">
        <is>
          <t>[게시판] KB국민은행, 경찰청과 고령층에 금융사기 예방 캠페인</t>
        </is>
      </c>
      <c r="D51" s="3" t="inlineStr">
        <is>
          <t>KB국민은행은 지난 15일 경찰청과 고령층 대상 금융사기 예방 캠페인을 했다고 16일 밝혔다. 이번 캠페인은 금융감독원의 '금융권 공동 고령.</t>
        </is>
      </c>
      <c r="E51" s="3" t="inlineStr">
        <is>
          <t>주요언론</t>
        </is>
      </c>
      <c r="F51" s="3" t="inlineStr">
        <is>
          <t>https://www.yna.co.kr/view/AKR20261016043500002</t>
        </is>
      </c>
      <c r="G51" s="3" t="inlineStr">
        <is>
          <t>Fri, 16 Oct 2026 09:44:10 +0900</t>
        </is>
      </c>
    </row>
    <row r="52">
      <c r="A52" s="2" t="inlineStr">
        <is>
          <t>거시경제/비즈니스</t>
        </is>
      </c>
      <c r="B52" s="2" t="inlineStr">
        <is>
          <t>신규 이슈</t>
        </is>
      </c>
      <c r="C52" s="2" t="inlineStr">
        <is>
          <t>한투증권, 네오클라우드 기업 '베슬AI'와 GPU 파이낸싱 MOU</t>
        </is>
      </c>
      <c r="D52" s="3" t="inlineStr">
        <is>
          <t>)= 한국투자증권은 네오클라우드 기업인 베슬AI와 '그래픽처리장치 파이낸싱' 업무협약 을 체결했다고.</t>
        </is>
      </c>
      <c r="E52" s="3" t="inlineStr">
        <is>
          <t>주요언론</t>
        </is>
      </c>
      <c r="F52" s="3" t="inlineStr">
        <is>
          <t>https://www.yna.co.kr/view/AKR20261016043800008</t>
        </is>
      </c>
      <c r="G52" s="3" t="inlineStr">
        <is>
          <t>Fri, 16 Oct 2026 09:42:09 +0900</t>
        </is>
      </c>
    </row>
    <row r="53">
      <c r="A53" s="2" t="inlineStr">
        <is>
          <t>거시경제/비즈니스</t>
        </is>
      </c>
      <c r="B53" s="2" t="inlineStr">
        <is>
          <t>신규 이슈</t>
        </is>
      </c>
      <c r="C53" s="2" t="inlineStr">
        <is>
          <t>현대건설, 내진성능 탈현장 공법 공동주택 코어에 확대 적용</t>
        </is>
      </c>
      <c r="D53" s="3" t="inlineStr">
        <is>
          <t>)= 현대건설은 내진 성능을 확보한 탈 현장 공법의 벽체 시스템을 계단실과 엘리베이터 등 공동주택 코어 부분(수직.</t>
        </is>
      </c>
      <c r="E53" s="3" t="inlineStr">
        <is>
          <t>주요언론</t>
        </is>
      </c>
      <c r="F53" s="3" t="inlineStr">
        <is>
          <t>https://www.yna.co.kr/view/AKR20261016042200003</t>
        </is>
      </c>
      <c r="G53" s="3" t="inlineStr">
        <is>
          <t>Fri, 16 Oct 2026 09:41:03 +0900</t>
        </is>
      </c>
    </row>
    <row r="54">
      <c r="A54" s="2" t="inlineStr">
        <is>
          <t>거시경제/비즈니스</t>
        </is>
      </c>
      <c r="B54" s="2" t="inlineStr">
        <is>
          <t>신규 이슈</t>
        </is>
      </c>
      <c r="C54" s="2" t="inlineStr">
        <is>
          <t>롯데칠성, '캪틴큐' 광고 모델에 코미디언 이선민 발탁</t>
        </is>
      </c>
      <c r="D54" s="3" t="inlineStr">
        <is>
          <t>)= 롯데칠성음료 는 단종 11년 만에 재출시한 럼주 '캪틴큐'의 광고 모델로 코미디언 이선민을 발탁했.</t>
        </is>
      </c>
      <c r="E54" s="3" t="inlineStr">
        <is>
          <t>주요언론</t>
        </is>
      </c>
      <c r="F54" s="3" t="inlineStr">
        <is>
          <t>https://www.yna.co.kr/view/AKR20261016043400030</t>
        </is>
      </c>
      <c r="G54" s="3" t="inlineStr">
        <is>
          <t>Fri, 16 Oct 2026 09:40:28 +0900</t>
        </is>
      </c>
    </row>
    <row r="55">
      <c r="A55" s="2" t="inlineStr">
        <is>
          <t>세계/국제</t>
        </is>
      </c>
      <c r="B55" s="2" t="inlineStr">
        <is>
          <t>연결 이슈 (후속)</t>
        </is>
      </c>
      <c r="C55" s="2" t="inlineStr">
        <is>
          <t>北, 신압록강대교 개통 대내외 보도…"북중 경제적 연계 강화"</t>
        </is>
      </c>
      <c r="D55" s="3" t="inlineStr">
        <is>
          <t>北, 신압록강대교 개통 대내외 보도"북중 경제적 연계 강화". 아울러 北·中 최대 물류 통로 열렸다 대북제재 사실상 무력화.</t>
        </is>
      </c>
      <c r="E55" s="3" t="inlineStr">
        <is>
          <t>연합뉴스TV</t>
        </is>
      </c>
      <c r="F55" s="3" t="inlineStr">
        <is>
          <t>https://news.google.com/rss/articles/CBMiZ0FVX3lxTE1Zb2Vvb3hZTVdTM2lCOGZDaVBTbWhoS1htT1M2cC13Zmt0aUlySDhDTmJ3aE9tbXlVaUZyandOM1dTX1g5MlRtb2lxUjdmaE8xdWdoRzljZ0MyblpQS2FfRV9KX3p2VkE?oc=5</t>
        </is>
      </c>
      <c r="G55" s="3" t="inlineStr">
        <is>
          <t>Thu, 15 Oct 2026 23:56:00 GMT</t>
        </is>
      </c>
    </row>
    <row r="56">
      <c r="A56" s="2" t="inlineStr">
        <is>
          <t>세계/국제</t>
        </is>
      </c>
      <c r="B56" s="2" t="inlineStr">
        <is>
          <t>🔥 [언론사 집중 보도 (4개사)]</t>
        </is>
      </c>
      <c r="C56" s="2" t="inlineStr">
        <is>
          <t>우크라 드론 '눈과 귀' 묶인 직후…머스크 “젤렌스키 물러날 때”</t>
        </is>
      </c>
      <c r="D56" s="3" t="inlineStr">
        <is>
          <t>우크라 드론 '눈과 귀' 묶인 직후머스크 “젤렌스키 물러날 때”.</t>
        </is>
      </c>
      <c r="E56" s="3" t="inlineStr">
        <is>
          <t>한국경제</t>
        </is>
      </c>
      <c r="F56" s="3" t="inlineStr">
        <is>
          <t>https://news.google.com/rss/articles/CBMiWkFVX3lxTE9QS2kxUVNiTThUazdUTklmczNmWjN4MGZjelZxcUYxanNLWlNsRm5SVXliZ252ZjhfX1RwWE1ZWExGWk5qaTR5RnlFcXROaF92cmtQUU02TG5OQQ?oc=5</t>
        </is>
      </c>
      <c r="G56" s="3" t="inlineStr">
        <is>
          <t>Thu, 15 Oct 2026 23:21:04 GMT</t>
        </is>
      </c>
    </row>
    <row r="57">
      <c r="A57" s="2" t="inlineStr">
        <is>
          <t>세계/국제</t>
        </is>
      </c>
      <c r="B57" s="2" t="inlineStr">
        <is>
          <t>🔥 [언론사 집중 보도 (5개사)]</t>
        </is>
      </c>
      <c r="C57" s="2" t="inlineStr">
        <is>
          <t>EU, 트럼프 비판 쏟아낸 젤렌스키에 "발언 수위 조절" 당부</t>
        </is>
      </c>
      <c r="D57" s="3" t="inlineStr">
        <is>
          <t>EU, 트럼프 비판 쏟아낸 젤렌스키에 "발언 수위 조절" 당부.</t>
        </is>
      </c>
      <c r="E57" s="3" t="inlineStr">
        <is>
          <t>뉴스핌</t>
        </is>
      </c>
      <c r="F57" s="3" t="inlineStr">
        <is>
          <t>https://news.google.com/rss/articles/CBMiXEFVX3lxTE5VMkFieTdxVFRIdVlzSFJ6MHRjWEJ3S1p4S3dTWm5WVnB1LWJrTG9FX1pzTmpYOVktc1ozWVlmZ0phd0dRWmJfX2YxTWRBQk13Mk4wTWNUYW1kMFV4?oc=5</t>
        </is>
      </c>
      <c r="G57" s="3" t="inlineStr">
        <is>
          <t>Fri, 16 Oct 2026 01:07:00 GMT</t>
        </is>
      </c>
    </row>
    <row r="58">
      <c r="A58" s="2" t="inlineStr">
        <is>
          <t>세계/국제</t>
        </is>
      </c>
      <c r="B58" s="2" t="inlineStr">
        <is>
          <t>🔥 [언론사 집중 보도 (3개사)]</t>
        </is>
      </c>
      <c r="C58" s="2" t="inlineStr">
        <is>
          <t>국제유가, 사우디 아람코 피격·IEA 공급 경고에 상승</t>
        </is>
      </c>
      <c r="D58" s="3" t="inlineStr">
        <is>
          <t>국제유가, 사우디 아람코 피격·IEA 공급 경고에 상승. 아울러 후티, 예멘 대통령궁 미사일 공격 "20여명 사상".</t>
        </is>
      </c>
      <c r="E58" s="3" t="inlineStr">
        <is>
          <t>연합뉴스</t>
        </is>
      </c>
      <c r="F58" s="3" t="inlineStr">
        <is>
          <t>https://news.google.com/rss/articles/CBMiW0FVX3lxTFBjR1dpT1YwdEhMMVVZMldoSWtQV0ZaSlBoTVhvWGdfNlFmTzZQa3ZNN3l1M3pucktwUTFsWW1MVGNWMl9YeVZVVmx0clNYWFZyWDRGNTBPS3dYRmfSAWBBVV95cUxPaGVMWkFwejNvUXlxMkw0MDlNazdDTXBUcHZhdVhxQ2ctRzQyYS1CRExXWm9sVVdhdGtqSzAwQmt3cDlOS3lWR2pMOW1Oc055emZfTVJ4Rkw2b0tDR0w5Nks?oc=5</t>
        </is>
      </c>
      <c r="G58" s="3" t="inlineStr">
        <is>
          <t>Wed, 14 Oct 2026 20:25:03 GMT</t>
        </is>
      </c>
    </row>
    <row r="59">
      <c r="A59" s="2" t="inlineStr">
        <is>
          <t>세계/국제</t>
        </is>
      </c>
      <c r="B59" s="2" t="inlineStr">
        <is>
          <t>연결 이슈 (후속)</t>
        </is>
      </c>
      <c r="C59" s="2" t="inlineStr">
        <is>
          <t>비밀주의 벗는 교황청…“레오 14세 수술후 스스로 걷고 식사”</t>
        </is>
      </c>
      <c r="D59" s="3" t="inlineStr">
        <is>
          <t>비밀주의 벗는 교황청“레오 14세 수술후 스스로 걷고 식사”. 아울러 "'폐암 진단' 교황 수술 후 회복 순조"신자들 쾌유 빌어.</t>
        </is>
      </c>
      <c r="E59" s="3" t="inlineStr">
        <is>
          <t>동아일보</t>
        </is>
      </c>
      <c r="F59" s="3" t="inlineStr">
        <is>
          <t>https://news.google.com/rss/articles/CBMic0FVX3lxTFBGb1V5VlpvTFlrcTdUNmhVY3NBQklYRHBvMEFOTlBaS3BDSFQwZ3hFa2xNVE1zYUtBeFB4THZFU2FFOENldllpYkRHZXRPWE9vNEhWd2pibWRONm9BOEhEYnRjeU4wbG1lWGQ0cklIQjByWDTSAWZBVV95cUxQeWJwaTZ2QW5rTzVXajBFLWUtdzlXWkhuTXZqdy1vSGR0RldVZzQ4YTBEeFNRcnpjUHNabjZNRjZJVkg4Mk9Gb2FBTkJCcmN6RGxUMTBHU3JsTXowZndwbzV3LUFpNVE?oc=5</t>
        </is>
      </c>
      <c r="G59" s="3" t="inlineStr">
        <is>
          <t>Thu, 15 Oct 2026 07:10:00 GMT</t>
        </is>
      </c>
    </row>
    <row r="60">
      <c r="A60" s="2" t="inlineStr">
        <is>
          <t>세계/국제</t>
        </is>
      </c>
      <c r="B60" s="2" t="inlineStr">
        <is>
          <t>🔥 [언론사 집중 보도 (5개사)]</t>
        </is>
      </c>
      <c r="C60" s="2" t="inlineStr">
        <is>
          <t>'호랑이에 숨진 남성' 영상 올린 트럼프…"슬픈 일" 지지자도 비판[이런일이]</t>
        </is>
      </c>
      <c r="D60" s="3" t="inlineStr">
        <is>
          <t>'호랑이에 숨진 남성' 영상 올린 트럼프"슬픈 일" 지지자도 비판.</t>
        </is>
      </c>
      <c r="E60" s="3" t="inlineStr">
        <is>
          <t>노컷뉴스</t>
        </is>
      </c>
      <c r="F60" s="3" t="inlineStr">
        <is>
          <t>https://news.google.com/rss/articles/CBMiUkFVX3lxTE9DNFJGcVBEN09iTlA2S3VWTUpvOTJib3lpckVyYmxrMTE1dUJxNzk5TlVRWVBIRWliSFltblY4el9PbXFMczEyLUprekl6cEFHaHc?oc=5</t>
        </is>
      </c>
      <c r="G60" s="3" t="inlineStr">
        <is>
          <t>Wed, 14 Oct 2026 06:30:00 GMT</t>
        </is>
      </c>
    </row>
    <row r="61">
      <c r="A61" s="2" t="inlineStr">
        <is>
          <t>세계/국제</t>
        </is>
      </c>
      <c r="B61" s="2" t="inlineStr">
        <is>
          <t>🔥 [언론사 집중 보도 (4개사)]</t>
        </is>
      </c>
      <c r="C61" s="2" t="inlineStr">
        <is>
          <t>MS 사장, '고숙련 이민자 영주권 차단' 美정책 비판</t>
        </is>
      </c>
      <c r="D61" s="3" t="inlineStr">
        <is>
          <t>)= 브래드 스미스 마이크로소프트 부회장 겸 사장이 고숙련 이민자의 영주권 취득 경로를 차단하는 도널드 트럼.</t>
        </is>
      </c>
      <c r="E61" s="3" t="inlineStr">
        <is>
          <t>주요언론</t>
        </is>
      </c>
      <c r="F61" s="3" t="inlineStr">
        <is>
          <t>https://www.yna.co.kr/view/AKR20261016054200009</t>
        </is>
      </c>
      <c r="G61" s="3" t="inlineStr">
        <is>
          <t>Fri, 16 Oct 2026 10:18:38 +0900</t>
        </is>
      </c>
    </row>
    <row r="62">
      <c r="A62" s="2" t="inlineStr">
        <is>
          <t>세계/국제</t>
        </is>
      </c>
      <c r="B62" s="2" t="inlineStr">
        <is>
          <t>연결 이슈 (후속)</t>
        </is>
      </c>
      <c r="C62" s="2" t="inlineStr">
        <is>
          <t>"신압록강대교 개통…北, 맥주 앞세워 대중국 외화벌이 속도"</t>
        </is>
      </c>
      <c r="D62" s="3" t="inlineStr">
        <is>
          <t>)= 중국과 북한을 잇는 신압록강대교의 개통을 계기로 북한이 맥주와 담배, 해산물 등을 중심으로 중국을 상대로.</t>
        </is>
      </c>
      <c r="E62" s="3" t="inlineStr">
        <is>
          <t>주요언론</t>
        </is>
      </c>
      <c r="F62" s="3" t="inlineStr">
        <is>
          <t>https://www.yna.co.kr/view/AKR20261016050000009</t>
        </is>
      </c>
      <c r="G62" s="3" t="inlineStr">
        <is>
          <t>Fri, 16 Oct 2026 10:13:11 +0900</t>
        </is>
      </c>
    </row>
    <row r="63">
      <c r="A63" s="2" t="inlineStr">
        <is>
          <t>세계/국제</t>
        </is>
      </c>
      <c r="B63" s="2" t="inlineStr">
        <is>
          <t>신규 이슈</t>
        </is>
      </c>
      <c r="C63" s="2" t="inlineStr">
        <is>
          <t>앤트로픽, 외부 안전평가기관에 접근권 부여</t>
        </is>
      </c>
      <c r="D63" s="3" t="inlineStr">
        <is>
          <t>)= 앤트로픽이 자사 인공지능 모델의 위험을 평가할 수 있도록 외부 비영리 기관인 '모델 평가·위협 연구소'.</t>
        </is>
      </c>
      <c r="E63" s="3" t="inlineStr">
        <is>
          <t>주요언론</t>
        </is>
      </c>
      <c r="F63" s="3" t="inlineStr">
        <is>
          <t>https://www.yna.co.kr/view/AKR20261016031100009</t>
        </is>
      </c>
      <c r="G63" s="3" t="inlineStr">
        <is>
          <t>Fri, 16 Oct 2026 10:07:05 +0900</t>
        </is>
      </c>
    </row>
    <row r="64">
      <c r="A64" s="2" t="inlineStr">
        <is>
          <t>세계/국제</t>
        </is>
      </c>
      <c r="B64" s="2" t="inlineStr">
        <is>
          <t>🔥 [언론사 집중 보도 (3개사)]</t>
        </is>
      </c>
      <c r="C64" s="2" t="inlineStr">
        <is>
          <t>中당국, 2억원짜리 화웨이 전기차 브레이크 결함 의혹 합동조사</t>
        </is>
      </c>
      <c r="D64" s="3" t="inlineStr">
        <is>
          <t>)= 중국 당국이 최근 논란이 된 화웨이의 프리미엄 전기차 마에스트로 V800의 브레이크 결함.</t>
        </is>
      </c>
      <c r="E64" s="3" t="inlineStr">
        <is>
          <t>주요언론</t>
        </is>
      </c>
      <c r="F64" s="3" t="inlineStr">
        <is>
          <t>https://www.yna.co.kr/view/AKR20261016039600009</t>
        </is>
      </c>
      <c r="G64" s="3" t="inlineStr">
        <is>
          <t>Fri, 16 Oct 2026 09:51:17 +0900</t>
        </is>
      </c>
    </row>
    <row r="65">
      <c r="A65" s="2" t="inlineStr">
        <is>
          <t>세계/국제</t>
        </is>
      </c>
      <c r="B65" s="2" t="inlineStr">
        <is>
          <t>신규 이슈</t>
        </is>
      </c>
      <c r="C65" s="2" t="inlineStr">
        <is>
          <t>파키스탄 페샤와르서 사립학교 지붕 붕괴…학생·교사 35명 사망</t>
        </is>
      </c>
      <c r="D65" s="3" t="inlineStr">
        <is>
          <t>) 손현규 특파원 = 파키스탄 북서부에서 학교 지붕이 무너져 학생을 포함한 35명이 숨지고 50명 넘게 다쳤다.</t>
        </is>
      </c>
      <c r="E65" s="3" t="inlineStr">
        <is>
          <t>주요언론</t>
        </is>
      </c>
      <c r="F65" s="3" t="inlineStr">
        <is>
          <t>https://www.yna.co.kr/view/AKR20261016042100104</t>
        </is>
      </c>
      <c r="G65" s="3" t="inlineStr">
        <is>
          <t>Fri, 16 Oct 2026 09:45:20 +0900</t>
        </is>
      </c>
    </row>
    <row r="66">
      <c r="A66" s="2" t="inlineStr">
        <is>
          <t>IT/과학/신상품</t>
        </is>
      </c>
      <c r="B66" s="2" t="inlineStr">
        <is>
          <t>신규 이슈</t>
        </is>
      </c>
      <c r="C66" s="2" t="inlineStr">
        <is>
          <t>28포트 기가비트 매니지먼트 스위칭 허브 ‘아이피타임 GM26002’ 출시</t>
        </is>
      </c>
      <c r="D66" s="3" t="inlineStr">
        <is>
          <t>28포트 기가비트 매니지먼트 스위칭 허브 ‘아이피타임 GM26002’ 출시.</t>
        </is>
      </c>
      <c r="E66" s="3" t="inlineStr">
        <is>
          <t>위클리포스트</t>
        </is>
      </c>
      <c r="F66" s="3" t="inlineStr">
        <is>
          <t>https://news.google.com/rss/articles/CBMia0FVX3lxTFBZX3BDb2dGQmFfdE53RXV4aFU3MHkwSVlhRXBKbTQ5SVAtLW9oNVJYRjNwMTc2VWZfenJFQ21QaVBqQnVyM04yWnZzVExKR1U3Q1NHVzR4TUs2NEE1YW05Qk9NeFVDQmJwSVNJ?oc=5</t>
        </is>
      </c>
      <c r="G66" s="3" t="inlineStr">
        <is>
          <t>Fri, 16 Oct 2026 01:13:03 GMT</t>
        </is>
      </c>
    </row>
    <row r="67">
      <c r="A67" s="2" t="inlineStr">
        <is>
          <t>IT/과학/신상품</t>
        </is>
      </c>
      <c r="B67" s="2" t="inlineStr">
        <is>
          <t>신규 이슈</t>
        </is>
      </c>
      <c r="C67" s="2" t="inlineStr">
        <is>
          <t>서린씨앤아이, 써멀그리즐리 ‘WireView Pro II 녹투아 에디션’ 예판</t>
        </is>
      </c>
      <c r="D67" s="3" t="inlineStr">
        <is>
          <t>서린씨앤아이, 써멀그리즐리 ‘WireView Pro II 녹투아 에디션’ 예판.</t>
        </is>
      </c>
      <c r="E67" s="3" t="inlineStr">
        <is>
          <t>위클리포스트</t>
        </is>
      </c>
      <c r="F67" s="3" t="inlineStr">
        <is>
          <t>https://news.google.com/rss/articles/CBMia0FVX3lxTE16MU92VEh4cFdVb3FJWkJXNm4zYXpqZUp3UXpfSHhGVmVtRVJjMmdCVGd1d2tZTUpuQV9HdWw0TURCbkdXN2s3UnJ2aXlYQkRNVmpFVTJZRWZmQ19mLTV5b3VjRzlVc2xrdFRz?oc=5</t>
        </is>
      </c>
      <c r="G67" s="3" t="inlineStr">
        <is>
          <t>Fri, 16 Oct 2026 01:09:59 GMT</t>
        </is>
      </c>
    </row>
    <row r="68">
      <c r="A68" s="2" t="inlineStr">
        <is>
          <t>IT/과학/신상품</t>
        </is>
      </c>
      <c r="B68" s="2" t="inlineStr">
        <is>
          <t>신규 이슈</t>
        </is>
      </c>
      <c r="C68" s="2" t="inlineStr">
        <is>
          <t>우르베르크, '원더링 아워'를 양자의 영역으로 이끌다</t>
        </is>
      </c>
      <c r="D68" s="3" t="inlineStr">
        <is>
          <t>우르베르크, '원더링 아워'를 양자의 영역으로 이끌다.</t>
        </is>
      </c>
      <c r="E68" s="3" t="inlineStr">
        <is>
          <t>Hypebeast.KR</t>
        </is>
      </c>
      <c r="F68" s="3" t="inlineStr">
        <is>
          <t>https://news.google.com/rss/articles/CBMid0FVX3lxTE4xc0NtMS1NdFFXTTdERE9hM1pRZGZDeDBmU0thT1dFUHptTGdLbjBTWElMTnNISXFHUE4wb21GczN6XzZXOUQ5ZDNiTDY3OG1SaU9RT050NGs4WGpqd0Y4UC10T2ZkVkVKbmJ6VzBzU000V0xqNWlZ?oc=5</t>
        </is>
      </c>
      <c r="G68" s="3" t="inlineStr">
        <is>
          <t>Thu, 15 Oct 2026 08:00:37 GMT</t>
        </is>
      </c>
    </row>
    <row r="69">
      <c r="A69" s="2" t="inlineStr">
        <is>
          <t>IT/과학/신상품</t>
        </is>
      </c>
      <c r="B69" s="2" t="inlineStr">
        <is>
          <t>신규 이슈</t>
        </is>
      </c>
      <c r="C69" s="2" t="inlineStr">
        <is>
          <t>Brain Dead의 “Cyber Primitivism” FW26 첫 번째 드롭, 아날로그 시대를 재조명하다</t>
        </is>
      </c>
      <c r="D69" s="3" t="inlineStr">
        <is>
          <t>Brain Dead의 “Cyber Primitivism” FW26 첫 번째 드롭, 아날로그 시대를 재조명하다.</t>
        </is>
      </c>
      <c r="E69" s="3" t="inlineStr">
        <is>
          <t>Hypebeast.KR</t>
        </is>
      </c>
      <c r="F69" s="3" t="inlineStr">
        <is>
          <t>https://news.google.com/rss/articles/CBMiqAFBVV95cUxQQmI3TlQ5RllrZkt1amEyNTllV01NM0h0WjlGamtjanNGS0ZfcDloXzNuVzBieWFwQ1BfYXJvNkFQYUFDaDctM2Y2VGpucEJMRlJpYmhmTFlIYjQ3NHAwa21paFFlcUtGV1VkbDhQc3Nna2c0QjR4TE9BM2JvaFdsOEpkUGVGeDQ0YTlOT0F0eFpiNDRvdUJ1R0VNamdZSzdrSTh0MDgwclQ?oc=5</t>
        </is>
      </c>
      <c r="G69" s="3" t="inlineStr">
        <is>
          <t>Thu, 15 Oct 2026 07:47:43 GMT</t>
        </is>
      </c>
    </row>
    <row r="70">
      <c r="A70" s="2" t="inlineStr">
        <is>
          <t>IT/과학/신상품</t>
        </is>
      </c>
      <c r="B70" s="2" t="inlineStr">
        <is>
          <t>연결 이슈 (후속)</t>
        </is>
      </c>
      <c r="C70" s="2" t="inlineStr">
        <is>
          <t>이엠텍, PALIT 지포스 RTX 5080 INFINITY 3 D7 16GB 출시</t>
        </is>
      </c>
      <c r="D70" s="3" t="inlineStr">
        <is>
          <t>이엠텍, PALIT 지포스 RTX 5080 INFINITY 3 D7 16GB 출시.</t>
        </is>
      </c>
      <c r="E70" s="3" t="inlineStr">
        <is>
          <t>위클리포스트</t>
        </is>
      </c>
      <c r="F70" s="3" t="inlineStr">
        <is>
          <t>https://news.google.com/rss/articles/CBMia0FVX3lxTE5iWUJxeFFTckxKXzVSTUNHcFExMGtNcmtqTG0teW1oei1xLTI2V242a3BVRHB5ZFN4c2NlZUh1MzM5UVBpb1BJRGV2YjJFaXozdldSWWk2SFlISnRybUFzUkV2QWZMWjVZTjVR?oc=5</t>
        </is>
      </c>
      <c r="G70" s="3" t="inlineStr">
        <is>
          <t>Fri, 16 Oct 2026 00:48:54 GMT</t>
        </is>
      </c>
    </row>
    <row r="71">
      <c r="A71" s="2" t="inlineStr">
        <is>
          <t>IT/과학/신상품</t>
        </is>
      </c>
      <c r="B71" s="2" t="inlineStr">
        <is>
          <t>신규 이슈</t>
        </is>
      </c>
      <c r="C71" s="2" t="inlineStr">
        <is>
          <t>울주군, 에쓰오일 샤힌 프로젝트 준공 지원…전담 TF 가동</t>
        </is>
      </c>
      <c r="D71" s="3" t="inlineStr">
        <is>
          <t>)= 울산 울주군은 총사업비 9조2천580억원 규모 석유화학 단일 규모 최대 투자사업인 '에쓰오일 샤힌 프로젝트'.</t>
        </is>
      </c>
      <c r="E71" s="3" t="inlineStr">
        <is>
          <t>주요언론</t>
        </is>
      </c>
      <c r="F71" s="3" t="inlineStr">
        <is>
          <t>https://www.yna.co.kr/view/AKR20261016053000057</t>
        </is>
      </c>
      <c r="G71" s="3" t="inlineStr">
        <is>
          <t>Fri, 16 Oct 2026 10:17:16 +0900</t>
        </is>
      </c>
    </row>
    <row r="72">
      <c r="A72" s="2" t="inlineStr">
        <is>
          <t>IT/과학/신상품</t>
        </is>
      </c>
      <c r="B72" s="2" t="inlineStr">
        <is>
          <t>신규 이슈</t>
        </is>
      </c>
      <c r="C72" s="2" t="inlineStr">
        <is>
          <t>'불꽃과 드론, 빛의 향연'…24일 시흥 빨강등대 불꽃·드론쇼</t>
        </is>
      </c>
      <c r="D72" s="3" t="inlineStr">
        <is>
          <t>)= 경기 시흥시는 오는 24일 오후 6시부터 오이도항 일대에서 '빨강등대 불꽃·드론쇼'를 개최한다고 16일 밝혔다.</t>
        </is>
      </c>
      <c r="E72" s="3" t="inlineStr">
        <is>
          <t>주요언론</t>
        </is>
      </c>
      <c r="F72" s="3" t="inlineStr">
        <is>
          <t>https://www.yna.co.kr/view/AKR20261016052700061</t>
        </is>
      </c>
      <c r="G72" s="3" t="inlineStr">
        <is>
          <t>Fri, 16 Oct 2026 10:10:11 +0900</t>
        </is>
      </c>
    </row>
    <row r="73">
      <c r="A73" s="2" t="inlineStr">
        <is>
          <t>IT/과학/신상품</t>
        </is>
      </c>
      <c r="B73" s="2" t="inlineStr">
        <is>
          <t>🔥 [언론사 집중 보도 (6개사)]</t>
        </is>
      </c>
      <c r="C73" s="2" t="inlineStr">
        <is>
          <t>[테크스냅] 트웰브랩스, 영상이해 AI 에이전트 '자키' 출시</t>
        </is>
      </c>
      <c r="D73" s="3" t="inlineStr">
        <is>
          <t>)= 트웰브랩스가 영상 이해 인공지능 에이전트를 선보이며 영상 검색부터 분석, 편집을 아우르는 풀스택 AI.</t>
        </is>
      </c>
      <c r="E73" s="3" t="inlineStr">
        <is>
          <t>주요언론</t>
        </is>
      </c>
      <c r="F73" s="3" t="inlineStr">
        <is>
          <t>https://www.yna.co.kr/view/AKR20261016051400017</t>
        </is>
      </c>
      <c r="G73" s="3" t="inlineStr">
        <is>
          <t>Fri, 16 Oct 2026 10:07:24 +0900</t>
        </is>
      </c>
    </row>
    <row r="74">
      <c r="A74" s="2" t="inlineStr">
        <is>
          <t>IT/과학/신상품</t>
        </is>
      </c>
      <c r="B74" s="2" t="inlineStr">
        <is>
          <t>신규 이슈</t>
        </is>
      </c>
      <c r="C74" s="2" t="inlineStr">
        <is>
          <t>속초항에 이달 중 크루즈 3차례 입항…5천여명 방문 예상</t>
        </is>
      </c>
      <c r="D74" s="3" t="inlineStr">
        <is>
          <t>)= 강원 속초항에 이달 크루즈선이 3차례 입항하고 승객과 승무원 등 5천여명이 방문할 예정이다.</t>
        </is>
      </c>
      <c r="E74" s="3" t="inlineStr">
        <is>
          <t>주요언론</t>
        </is>
      </c>
      <c r="F74" s="3" t="inlineStr">
        <is>
          <t>https://www.yna.co.kr/view/AKR20261016051300062</t>
        </is>
      </c>
      <c r="G74" s="3" t="inlineStr">
        <is>
          <t>Fri, 16 Oct 2026 10:07:11 +0900</t>
        </is>
      </c>
    </row>
    <row r="75">
      <c r="A75" s="2" t="inlineStr">
        <is>
          <t>IT/과학/신상품</t>
        </is>
      </c>
      <c r="B75" s="2" t="inlineStr">
        <is>
          <t>신규 이슈</t>
        </is>
      </c>
      <c r="C75" s="2" t="inlineStr">
        <is>
          <t>[바이오스냅] 리가켐, ADC 후보물질 'LCB02A' 임상 1/2상 투약</t>
        </is>
      </c>
      <c r="D75" s="3" t="inlineStr">
        <is>
          <t>)= 리가켐 바이오사이언스가 항체·약물접합체 후보물질의 글로벌 임상 1/2상을 본격화했다.</t>
        </is>
      </c>
      <c r="E75" s="3" t="inlineStr">
        <is>
          <t>주요언론</t>
        </is>
      </c>
      <c r="F75" s="3" t="inlineStr">
        <is>
          <t>https://www.yna.co.kr/view/AKR20261016051200017</t>
        </is>
      </c>
      <c r="G75" s="3" t="inlineStr">
        <is>
          <t>Fri, 16 Oct 2026 10:05:11 +0900</t>
        </is>
      </c>
    </row>
    <row r="76">
      <c r="A76" s="2" t="inlineStr">
        <is>
          <t>IT/과학/신상품</t>
        </is>
      </c>
      <c r="B76" s="2" t="inlineStr">
        <is>
          <t>신규 이슈</t>
        </is>
      </c>
      <c r="C76" s="2" t="inlineStr">
        <is>
          <t>기업 가상화 인프라 선택 기준 바뀌었다…70%가 '확장성'</t>
        </is>
      </c>
      <c r="D76" s="3" t="inlineStr">
        <is>
          <t>)= 인공지능 도입 확산에 따라 기업들의 가상화 인프라 전환 기준이 단순한 시스템 안정성을 넘어 AI와 비즈.</t>
        </is>
      </c>
      <c r="E76" s="3" t="inlineStr">
        <is>
          <t>주요언론</t>
        </is>
      </c>
      <c r="F76" s="3" t="inlineStr">
        <is>
          <t>https://www.yna.co.kr/view/AKR20261016047100017</t>
        </is>
      </c>
      <c r="G76" s="3" t="inlineStr">
        <is>
          <t>Fri, 16 Oct 2026 10:03:08 +0900</t>
        </is>
      </c>
    </row>
    <row r="77">
      <c r="A77" s="2" t="inlineStr">
        <is>
          <t>IT/과학/신상품</t>
        </is>
      </c>
      <c r="B77" s="2" t="inlineStr">
        <is>
          <t>신규 이슈</t>
        </is>
      </c>
      <c r="C77" s="2" t="inlineStr">
        <is>
          <t>한화솔루션, 500㎸급 초고압교류송전 케이블소재 기술검증 성공</t>
        </is>
      </c>
      <c r="D77" s="3" t="inlineStr">
        <is>
          <t>)= 한화솔루션이 인공지능 데이터센터 확충 등에 따른 전력 수요 폭증으로 주목받는 차세대 초고압 교류송전(H.</t>
        </is>
      </c>
      <c r="E77" s="3" t="inlineStr">
        <is>
          <t>주요언론</t>
        </is>
      </c>
      <c r="F77" s="3" t="inlineStr">
        <is>
          <t>https://www.yna.co.kr/view/AKR20261015160600003</t>
        </is>
      </c>
      <c r="G77" s="3" t="inlineStr">
        <is>
          <t>Fri, 16 Oct 2026 10:00:04 +0900</t>
        </is>
      </c>
    </row>
    <row r="78">
      <c r="A78" s="2" t="inlineStr">
        <is>
          <t>IT/과학/신상품</t>
        </is>
      </c>
      <c r="B78" s="2" t="inlineStr">
        <is>
          <t>🔥 [언론사 집중 보도 (6개사)]</t>
        </is>
      </c>
      <c r="C78" s="2" t="inlineStr">
        <is>
          <t>"3대 메가 프로젝트, 글로벌 AI 핵심 병목 선점할 승부수"</t>
        </is>
      </c>
      <c r="D78" s="3" t="inlineStr">
        <is>
          <t>)= 3대 메가 프로젝트를 단순 설비투자, 생산능력 확충을 넘어 지역별 성장엔진과 결합한 국가 성장 플랫폼으로 확장.</t>
        </is>
      </c>
      <c r="E78" s="3" t="inlineStr">
        <is>
          <t>주요언론</t>
        </is>
      </c>
      <c r="F78" s="3" t="inlineStr">
        <is>
          <t>https://www.yna.co.kr/view/AKR20261016036400003</t>
        </is>
      </c>
      <c r="G78" s="3" t="inlineStr">
        <is>
          <t>Fri, 16 Oct 2026 10:00:01 +0900</t>
        </is>
      </c>
    </row>
    <row r="79">
      <c r="A79" s="2" t="inlineStr">
        <is>
          <t>IT/과학/신상품</t>
        </is>
      </c>
      <c r="B79" s="2" t="inlineStr">
        <is>
          <t>신규 이슈</t>
        </is>
      </c>
      <c r="C79" s="2" t="inlineStr">
        <is>
          <t>부산해수청, 부산항 내 불법 어로행위 특별단속</t>
        </is>
      </c>
      <c r="D79" s="3" t="inlineStr">
        <is>
          <t>)= 부산해양수산청은 부산항 내 불법 어로행위로 인한 안전사고를 예방하기 위해 19일부터 2주간 특별단속을 벌인다고.</t>
        </is>
      </c>
      <c r="E79" s="3" t="inlineStr">
        <is>
          <t>주요언론</t>
        </is>
      </c>
      <c r="F79" s="3" t="inlineStr">
        <is>
          <t>https://www.yna.co.kr/view/AKR20261016048900051</t>
        </is>
      </c>
      <c r="G79" s="3" t="inlineStr">
        <is>
          <t>Fri, 16 Oct 2026 09:59:40 +0900</t>
        </is>
      </c>
    </row>
    <row r="80">
      <c r="A80" s="2" t="inlineStr">
        <is>
          <t>IT/과학/신상품</t>
        </is>
      </c>
      <c r="B80" s="2" t="inlineStr">
        <is>
          <t>연결 이슈 (후속)</t>
        </is>
      </c>
      <c r="C80" s="2" t="inlineStr">
        <is>
          <t>신세계인터내셔날, 25일까지 멤버십 행사…포인트 10배 적립</t>
        </is>
      </c>
      <c r="D80" s="3" t="inlineStr">
        <is>
          <t>)= 신세계인터내셔날은 가을·겨울 쇼핑 성수기를 맞아 오는 25일까지 자사 멤버십 회원에게 구매 금액의 5%를 포인.</t>
        </is>
      </c>
      <c r="E80" s="3" t="inlineStr">
        <is>
          <t>주요언론</t>
        </is>
      </c>
      <c r="F80" s="3" t="inlineStr">
        <is>
          <t>https://www.yna.co.kr/view/AKR20261016047700030</t>
        </is>
      </c>
      <c r="G80" s="3" t="inlineStr">
        <is>
          <t>Fri, 16 Oct 2026 09:57:31 +0900</t>
        </is>
      </c>
    </row>
    <row r="81">
      <c r="A81" s="2" t="inlineStr">
        <is>
          <t>IT/과학/신상품</t>
        </is>
      </c>
      <c r="B81" s="2" t="inlineStr">
        <is>
          <t>연결 이슈 (후속)</t>
        </is>
      </c>
      <c r="C81" s="2" t="inlineStr">
        <is>
          <t>BMW 코리아, 온라인서 '더 뉴 BMW 7시리즈' 예약 판매</t>
        </is>
      </c>
      <c r="D81" s="3" t="inlineStr">
        <is>
          <t>달 9일까지 온라인 판매 채널인 BMW 샵 온라인에서 럭셔리 플래그십 세단.</t>
        </is>
      </c>
      <c r="E81" s="3" t="inlineStr">
        <is>
          <t>주요언론</t>
        </is>
      </c>
      <c r="F81" s="3" t="inlineStr">
        <is>
          <t>https://www.yna.co.kr/view/AKR20261016047300003</t>
        </is>
      </c>
      <c r="G81" s="3" t="inlineStr">
        <is>
          <t>Fri, 16 Oct 2026 09:55:45 +0900</t>
        </is>
      </c>
    </row>
    <row r="82">
      <c r="A82" s="2" t="inlineStr">
        <is>
          <t>IT/과학/신상품</t>
        </is>
      </c>
      <c r="B82" s="2" t="inlineStr">
        <is>
          <t>신규 이슈</t>
        </is>
      </c>
      <c r="C82" s="2" t="inlineStr">
        <is>
          <t>'강도다리 질병 피해 줄인다'…경북어업기술원·코미팜 협약</t>
        </is>
      </c>
      <c r="D82" s="3" t="inlineStr">
        <is>
          <t>)= 경북도어업기술원은 강도다리 질병 피해를 줄이고 안정적인 생산 기반을 마련하기 위해 동물용 의약품 전문기업인.</t>
        </is>
      </c>
      <c r="E82" s="3" t="inlineStr">
        <is>
          <t>주요언론</t>
        </is>
      </c>
      <c r="F82" s="3" t="inlineStr">
        <is>
          <t>https://www.yna.co.kr/view/AKR20261016039900053</t>
        </is>
      </c>
      <c r="G82" s="3" t="inlineStr">
        <is>
          <t>Fri, 16 Oct 2026 09:53:27 +0900</t>
        </is>
      </c>
    </row>
    <row r="83">
      <c r="A83" s="2" t="inlineStr">
        <is>
          <t>연예/대중문화</t>
        </is>
      </c>
      <c r="B83" s="2" t="inlineStr">
        <is>
          <t>🔥 [언론사 집중 보도 (3개사)]</t>
        </is>
      </c>
      <c r="C83" s="2" t="inlineStr">
        <is>
          <t>김지원, 또 통했다…화제성 1위→'닥터X' 넷플 글로벌 1위 - 조선비즈</t>
        </is>
      </c>
      <c r="D83" s="3" t="inlineStr">
        <is>
          <t>김지원, 또 통했다화제성 1위→'닥터X' 넷플 글로벌 1위 - 조선비즈. 아울러 잘 나가던 ‘닥터X’, 암초 만났다현직 의사, 방송심의 요청.</t>
        </is>
      </c>
      <c r="E83" s="3" t="inlineStr">
        <is>
          <t>Chosunbiz</t>
        </is>
      </c>
      <c r="F83" s="3" t="inlineStr">
        <is>
          <t>https://news.google.com/rss/articles/CBMihAFBVV95cUxNVjFnMHpRMkM2cy16Zkdzd2dTSkpUeDJRRVZVN3B4aWNNOFM5MTZsUVZzekMzdzk3X0pvSWdsbmxnbl85RGs4N2xjMWpEaFlaT3Yta254MldmMHVCTnRtOWNRUWRWbmtMZG51Z3JJYk92cHJWcHRnZTBkRGFScEl2eF9ESjnSAZgBQVVfeXFMTjhVWTdDbXlsaENvbTgxMHQtSmtRLXlyNmQwYVVzYjNhQVpnRVBfVmNZNnlyNm4yLVhoc0ZrRFpoaWgteWxfenJ3aWNyX1NtUTkwZnZ1RndKMTMwWXcwU3RrT3l1S2Vqbk44ODJlV0R2ZzdjUHFlMDJoU2JydTVXUWVHczNteDlXSnJ0V200a3BzZE1nZnZhcDk?oc=5</t>
        </is>
      </c>
      <c r="G83" s="3" t="inlineStr">
        <is>
          <t>Thu, 15 Oct 2026 05:51:00 GMT</t>
        </is>
      </c>
    </row>
    <row r="84">
      <c r="A84" s="2" t="inlineStr">
        <is>
          <t>연예/대중문화</t>
        </is>
      </c>
      <c r="B84" s="2" t="inlineStr">
        <is>
          <t>🔥 [언론사 집중 보도 (5개사)]</t>
        </is>
      </c>
      <c r="C84" s="2" t="inlineStr">
        <is>
          <t>'이수만 걸그룹' A2O 라이트, 데뷔 29시간 만에 멜론 1위</t>
        </is>
      </c>
      <c r="D84" s="3" t="inlineStr">
        <is>
          <t>'이수만 걸그룹' A2O 라이트, 데뷔 29시간 만에 멜론 1위.</t>
        </is>
      </c>
      <c r="E84" s="3" t="inlineStr">
        <is>
          <t>아시아경제</t>
        </is>
      </c>
      <c r="F84" s="3" t="inlineStr">
        <is>
          <t>https://news.google.com/rss/articles/CBMiYEFVX3lxTE5FSFlYV2NqNFFwZ19Id0RHR21vY0dQRkJwWHJqZy1BUjR6cHhOUXR6d0ppdFMyQjl3cEhNT05LX2dtUEpEZm9TbDZzUnFfZlpEUDRKaFpoZFlfRTBIZDV2VQ?oc=5</t>
        </is>
      </c>
      <c r="G84" s="3" t="inlineStr">
        <is>
          <t>Thu, 15 Oct 2026 23:32:11 GMT</t>
        </is>
      </c>
    </row>
    <row r="85">
      <c r="A85" s="2" t="inlineStr">
        <is>
          <t>연예/대중문화</t>
        </is>
      </c>
      <c r="B85" s="2" t="inlineStr">
        <is>
          <t>🔥 [언론사 집중 보도 (3개사)]</t>
        </is>
      </c>
      <c r="C85" s="2" t="inlineStr">
        <is>
          <t>한가인, 주얼리 공개하며 "내돈내산"…뒷광고 의혹 선 긋기</t>
        </is>
      </c>
      <c r="D85" s="3" t="inlineStr">
        <is>
          <t>한가인, 주얼리 공개하며 "내돈내산"뒷광고 의혹 선 긋기.</t>
        </is>
      </c>
      <c r="E85" s="3" t="inlineStr">
        <is>
          <t>한국경제</t>
        </is>
      </c>
      <c r="F85" s="3" t="inlineStr">
        <is>
          <t>https://news.google.com/rss/articles/CBMiWkFVX3lxTE1jNUZxNGM4bjJQaWpnek9IMmQ5YUhuczlMeGpOSHpUaTFRcDFzdElKLTk3dklUcW1hZkpFQmdjVGtzeHBSaU1CVXplVktfSjBOMmE3Tmo0Z2pJdw?oc=5</t>
        </is>
      </c>
      <c r="G85" s="3" t="inlineStr">
        <is>
          <t>Fri, 16 Oct 2026 00:49:50 GMT</t>
        </is>
      </c>
    </row>
    <row r="86">
      <c r="A86" s="2" t="inlineStr">
        <is>
          <t>연예/대중문화</t>
        </is>
      </c>
      <c r="B86" s="2" t="inlineStr">
        <is>
          <t>신규 이슈</t>
        </is>
      </c>
      <c r="C86" s="2" t="inlineStr">
        <is>
          <t>암살자(들)은 불매·스벅은 풀매… 보수화된 MZ ‘정치적 보이콧’</t>
        </is>
      </c>
      <c r="D86" s="3" t="inlineStr">
        <is>
          <t>암살자은 불매·스벅은 풀매 보수화된 MZ ‘정치적 보이콧’. 아울러 '암살자들' 논란과 진실의 진주.</t>
        </is>
      </c>
      <c r="E86" s="3" t="inlineStr">
        <is>
          <t>문화일보</t>
        </is>
      </c>
      <c r="F86" s="3" t="inlineStr">
        <is>
          <t>https://news.google.com/rss/articles/CBMiUEFVX3lxTFBLM1YtNWJkQUpRMEJpOG1URDBUbjhUY2VWd2lqMHl6ZzVXOFFsSmFsdTdMS2gyX0tOaEhiVnhUd0x5Mzl0d3VBU3NiRWFiMi1P?oc=5</t>
        </is>
      </c>
      <c r="G86" s="3" t="inlineStr">
        <is>
          <t>Fri, 16 Oct 2026 00:23:34 GMT</t>
        </is>
      </c>
    </row>
    <row r="87">
      <c r="A87" s="2" t="inlineStr">
        <is>
          <t>연예/대중문화</t>
        </is>
      </c>
      <c r="B87" s="2" t="inlineStr">
        <is>
          <t>연결 이슈 (후속)</t>
        </is>
      </c>
      <c r="C87" s="2" t="inlineStr">
        <is>
          <t>"전 세계 사로잡은 K-로맨스"…뉴 포인트 제작 '나를 충전해줘', 플릭스패트롤 월드와이드 3위</t>
        </is>
      </c>
      <c r="D87" s="3" t="inlineStr">
        <is>
          <t>"전 세계 사로잡은 K-로맨스"뉴 포인트 제작 '나를 충전해줘', 플릭스패트롤 월드와이드 3위. 아울러 채수빈 "로코 장르 갇힐까 걱정했는데'나충전' 하길 잘했다 싶죠".</t>
        </is>
      </c>
      <c r="E87" s="3" t="inlineStr">
        <is>
          <t>조선일보</t>
        </is>
      </c>
      <c r="F87" s="3" t="inlineStr">
        <is>
          <t>https://news.google.com/rss/articles/CBMijwFBVV95cUxNdTI0QVM5MVBIb1RnUnRFUUhrdkF4dERzblNBYVJ4OXl6cTNhQUVFZy0xejRnNUM2SmtMTi1IY0FmUk5ySi1rVE43dF82ZHN1Q0kzbTVsMklYaW1MRW10RWZwYUZmMG0tRWJDelBuTnR4YVItdFFvS0VzYzNhRnJBaERUbkF5cy1WMlZnYm02bw?oc=5</t>
        </is>
      </c>
      <c r="G87" s="3" t="inlineStr">
        <is>
          <t>Thu, 15 Oct 2026 05:23:00 GMT</t>
        </is>
      </c>
    </row>
    <row r="88">
      <c r="A88" s="2" t="inlineStr">
        <is>
          <t>연예/대중문화</t>
        </is>
      </c>
      <c r="B88" s="2" t="inlineStr">
        <is>
          <t>연결 이슈 (후속)</t>
        </is>
      </c>
      <c r="C88" s="2" t="inlineStr">
        <is>
          <t>'나혼산' 전현무 즉흥 여행이라더니…"시나리오 있었다" 파장</t>
        </is>
      </c>
      <c r="D88" s="3" t="inlineStr">
        <is>
          <t>'나혼산' 전현무 즉흥 여행이라더니"시나리오 있었다" 파장.</t>
        </is>
      </c>
      <c r="E88" s="3" t="inlineStr">
        <is>
          <t>한국경제</t>
        </is>
      </c>
      <c r="F88" s="3" t="inlineStr">
        <is>
          <t>https://news.google.com/rss/articles/CBMiWkFVX3lxTE50ei0xUnBBaXR0U2pmVHR0MUtNcGRpVFRPazJQWkRid2JZMUpMczBxMUROOWU3VUU5Y05rQ1dZLVZtbDl5SnlRdjFJaWJFVXR0OVBDSWxmdzZYQQ?oc=5</t>
        </is>
      </c>
      <c r="G88" s="3" t="inlineStr">
        <is>
          <t>Thu, 15 Oct 2026 22:43:18 GMT</t>
        </is>
      </c>
    </row>
    <row r="89">
      <c r="A89" s="2" t="inlineStr">
        <is>
          <t>연예/대중문화</t>
        </is>
      </c>
      <c r="B89" s="2" t="inlineStr">
        <is>
          <t>신규 이슈</t>
        </is>
      </c>
      <c r="C89" s="2" t="inlineStr">
        <is>
          <t>이영애, ‘2조 자산가’ ♥정호영과 행사 동반참여…20살차 안 믿기는 비주얼[핫피플]</t>
        </is>
      </c>
      <c r="D89" s="3" t="inlineStr">
        <is>
          <t>이영애, ‘2조 자산가’ ♥정호영과 행사 동반참여20살차 안 믿기는 비주얼.</t>
        </is>
      </c>
      <c r="E89" s="3" t="inlineStr">
        <is>
          <t>조선일보</t>
        </is>
      </c>
      <c r="F89" s="3" t="inlineStr">
        <is>
          <t>https://news.google.com/rss/articles/CBMijwFBVV95cUxNdXVPbHZBLWlMelR5TGUzWjhybTRUU3FmWjlkQ2w2ODBFQUxaLW11aFFiTmxDYkw2cFBSMlVGT1RBSXFlajFrbUF6Qndtc2Rnd1BjUUNNQ0gxN1A1X2VKV3kxTzU1MkJaaHRjejBuUnZhdlJOLVRSNHQ3MHliVlEyMUtXUE5BZVBQMlFHSGZWYw?oc=5</t>
        </is>
      </c>
      <c r="G89" s="3" t="inlineStr">
        <is>
          <t>Thu, 15 Oct 2026 22:56:00 GMT</t>
        </is>
      </c>
    </row>
    <row r="90">
      <c r="A90" s="2" t="inlineStr">
        <is>
          <t>연예/대중문화</t>
        </is>
      </c>
      <c r="B90" s="2" t="inlineStr">
        <is>
          <t>신규 이슈</t>
        </is>
      </c>
      <c r="C90" s="2" t="inlineStr">
        <is>
          <t>[방송소식] 장나라 주연 SBS '굿파트너2'…내달 첫 방송</t>
        </is>
      </c>
      <c r="D90" s="3" t="inlineStr">
        <is>
          <t>)= ▲ SBS '굿파트너2', 장나라 새 파트너는 김혜윤 = SBS는 새 금토드라마 '굿파트너2'를.</t>
        </is>
      </c>
      <c r="E90" s="3" t="inlineStr">
        <is>
          <t>주요언론</t>
        </is>
      </c>
      <c r="F90" s="3" t="inlineStr">
        <is>
          <t>https://www.yna.co.kr/view/AKR20261016051600005</t>
        </is>
      </c>
      <c r="G90" s="3" t="inlineStr">
        <is>
          <t>Fri, 16 Oct 2026 10:12:31 +0900</t>
        </is>
      </c>
    </row>
    <row r="91">
      <c r="A91" s="2" t="inlineStr">
        <is>
          <t>연예/대중문화</t>
        </is>
      </c>
      <c r="B91" s="2" t="inlineStr">
        <is>
          <t>신규 이슈</t>
        </is>
      </c>
      <c r="C91" s="2" t="inlineStr">
        <is>
          <t>신인 코이, 새 싱글 '1979 블루'…현대인의 고독 노래</t>
        </is>
      </c>
      <c r="D91" s="3" t="inlineStr">
        <is>
          <t>)= 신인 가수 코이 가 16일 낮 12시 새 싱글' 1979 블루' 를 발표한다고 소속.</t>
        </is>
      </c>
      <c r="E91" s="3" t="inlineStr">
        <is>
          <t>주요언론</t>
        </is>
      </c>
      <c r="F91" s="3" t="inlineStr">
        <is>
          <t>https://www.yna.co.kr/view/AKR20261016051500005</t>
        </is>
      </c>
      <c r="G91" s="3" t="inlineStr">
        <is>
          <t>Fri, 16 Oct 2026 10:05:47 +0900</t>
        </is>
      </c>
    </row>
    <row r="92">
      <c r="A92" s="2" t="inlineStr">
        <is>
          <t>연예/대중문화</t>
        </is>
      </c>
      <c r="B92" s="2" t="inlineStr">
        <is>
          <t>연결 이슈 (후속)</t>
        </is>
      </c>
      <c r="C92" s="2" t="inlineStr">
        <is>
          <t>밴드 바보, 장기하 소속사 합류…"올해 정규 2집 계획"</t>
        </is>
      </c>
      <c r="D92" s="3" t="inlineStr">
        <is>
          <t>)= 가면을 쓰고 활동하는 밴드 바보 가 두루두루 아티스트 컴퍼니에 합류했다.</t>
        </is>
      </c>
      <c r="E92" s="3" t="inlineStr">
        <is>
          <t>주요언론</t>
        </is>
      </c>
      <c r="F92" s="3" t="inlineStr">
        <is>
          <t>https://www.yna.co.kr/view/AKR20261016046900005</t>
        </is>
      </c>
      <c r="G92" s="3" t="inlineStr">
        <is>
          <t>Fri, 16 Oct 2026 10:02:18 +0900</t>
        </is>
      </c>
    </row>
    <row r="93">
      <c r="A93" s="2" t="inlineStr">
        <is>
          <t>연예/대중문화</t>
        </is>
      </c>
      <c r="B93" s="2" t="inlineStr">
        <is>
          <t>🔥 [언론사 집중 보도 (5개사)]</t>
        </is>
      </c>
      <c r="C93" s="2" t="inlineStr">
        <is>
          <t>아일랜드 가수 데미안 라이스, 내년 2년 만에 내한</t>
        </is>
      </c>
      <c r="D93" s="3" t="inlineStr">
        <is>
          <t>)= 아일랜드 출신 포크 록 싱어송라이터 데미안 라이스가 내년 2월 27∼28일 서울 GS아트센터에서 내한 공연을.</t>
        </is>
      </c>
      <c r="E93" s="3" t="inlineStr">
        <is>
          <t>주요언론</t>
        </is>
      </c>
      <c r="F93" s="3" t="inlineStr">
        <is>
          <t>https://www.yna.co.kr/view/AKR20261016043100005</t>
        </is>
      </c>
      <c r="G93" s="3" t="inlineStr">
        <is>
          <t>Fri, 16 Oct 2026 09:41:33 +0900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7" customWidth="1" min="1" max="1"/>
    <col width="65" customWidth="1" min="2" max="2"/>
    <col width="33" customWidth="1" min="3" max="3"/>
    <col width="53" customWidth="1" min="4" max="4"/>
  </cols>
  <sheetData>
    <row r="1">
      <c r="A1" s="1" t="inlineStr">
        <is>
          <t>구분</t>
        </is>
      </c>
      <c r="B1" s="1" t="inlineStr">
        <is>
          <t>세부내용</t>
        </is>
      </c>
      <c r="C1" s="1" t="inlineStr">
        <is>
          <t>수치/등락</t>
        </is>
      </c>
      <c r="D1" s="1" t="inlineStr">
        <is>
          <t>참고</t>
        </is>
      </c>
    </row>
    <row r="2">
      <c r="A2" s="2">
        <f>== [국내 증시 지수] ===</f>
        <v/>
      </c>
      <c r="B2" s="2" t="inlineStr"/>
      <c r="C2" s="2" t="inlineStr"/>
      <c r="D2" s="3" t="inlineStr"/>
    </row>
    <row r="3">
      <c r="A3" s="2" t="inlineStr">
        <is>
          <t>코스피 (KOSPI)</t>
        </is>
      </c>
      <c r="B3" s="2" t="inlineStr">
        <is>
          <t>현재 지수</t>
        </is>
      </c>
      <c r="C3" s="2" t="inlineStr">
        <is>
          <t>5,731.84 (▲ +177.62 (+3.20%))</t>
        </is>
      </c>
      <c r="D3" s="3" t="inlineStr">
        <is>
          <t>실시간 마켓 데이터</t>
        </is>
      </c>
    </row>
    <row r="4">
      <c r="A4" s="2" t="inlineStr">
        <is>
          <t>코스닥 (KOSDAQ)</t>
        </is>
      </c>
      <c r="B4" s="2" t="inlineStr">
        <is>
          <t>현재 지수</t>
        </is>
      </c>
      <c r="C4" s="2" t="inlineStr">
        <is>
          <t>790.96 (▲ +30.14 (+3.96%))</t>
        </is>
      </c>
      <c r="D4" s="3" t="inlineStr">
        <is>
          <t>실시간 마켓 데이터</t>
        </is>
      </c>
    </row>
    <row r="5">
      <c r="A5" s="2" t="inlineStr">
        <is>
          <t>나스닥 (NASDAQ)</t>
        </is>
      </c>
      <c r="B5" s="2" t="inlineStr">
        <is>
          <t>현재 지수</t>
        </is>
      </c>
      <c r="C5" s="2" t="inlineStr">
        <is>
          <t>26,713.03 (▲ +20.16 (+0.08%))</t>
        </is>
      </c>
      <c r="D5" s="3" t="inlineStr">
        <is>
          <t>실시간 마켓 데이터</t>
        </is>
      </c>
    </row>
    <row r="6">
      <c r="A6" s="2" t="inlineStr">
        <is>
          <t>S&amp;P 500</t>
        </is>
      </c>
      <c r="B6" s="2" t="inlineStr">
        <is>
          <t>현재 지수</t>
        </is>
      </c>
      <c r="C6" s="2" t="inlineStr">
        <is>
          <t>7,744.06 (▲ +25.12 (+0.33%))</t>
        </is>
      </c>
      <c r="D6" s="3" t="inlineStr">
        <is>
          <t>실시간 마켓 데이터</t>
        </is>
      </c>
    </row>
    <row r="7">
      <c r="A7" s="2" t="inlineStr">
        <is>
          <t>WTI 원유 ($/bbl)</t>
        </is>
      </c>
      <c r="B7" s="2" t="inlineStr">
        <is>
          <t>현재 지수</t>
        </is>
      </c>
      <c r="C7" s="2" t="inlineStr">
        <is>
          <t>95.82 (▼ -0.68 (-0.70%))</t>
        </is>
      </c>
      <c r="D7" s="3" t="inlineStr">
        <is>
          <t>실시간 마켓 데이터</t>
        </is>
      </c>
    </row>
    <row r="8">
      <c r="A8" s="2" t="inlineStr">
        <is>
          <t>국제 금 ($/oz)</t>
        </is>
      </c>
      <c r="B8" s="2" t="inlineStr">
        <is>
          <t>현재 지수</t>
        </is>
      </c>
      <c r="C8" s="2" t="inlineStr">
        <is>
          <t>4,178.30 (▲ +8.20 (+0.20%))</t>
        </is>
      </c>
      <c r="D8" s="3" t="inlineStr">
        <is>
          <t>실시간 마켓 데이터</t>
        </is>
      </c>
    </row>
    <row r="9">
      <c r="A9" s="2" t="inlineStr">
        <is>
          <t>VIX 변동성 지수</t>
        </is>
      </c>
      <c r="B9" s="2" t="inlineStr">
        <is>
          <t>현재 지수</t>
        </is>
      </c>
      <c r="C9" s="2" t="inlineStr">
        <is>
          <t>16.46 (▼ -0.41 (-2.43%))</t>
        </is>
      </c>
      <c r="D9" s="3" t="inlineStr">
        <is>
          <t>실시간 마켓 데이터</t>
        </is>
      </c>
    </row>
    <row r="10">
      <c r="A10" s="2" t="inlineStr">
        <is>
          <t>미국 10년물 국채 (%)</t>
        </is>
      </c>
      <c r="B10" s="2" t="inlineStr">
        <is>
          <t>현재 지수</t>
        </is>
      </c>
      <c r="C10" s="2" t="inlineStr">
        <is>
          <t>5.09 (▼ -0.10 (-1.95%))</t>
        </is>
      </c>
      <c r="D10" s="3" t="inlineStr">
        <is>
          <t>실시간 마켓 데이터</t>
        </is>
      </c>
    </row>
    <row r="11">
      <c r="A11" s="2" t="inlineStr"/>
      <c r="B11" s="2" t="inlineStr"/>
      <c r="C11" s="2" t="inlineStr"/>
      <c r="D11" s="3" t="inlineStr"/>
    </row>
    <row r="12">
      <c r="A12" s="2">
        <f>== [주요 환율 정보] ===</f>
        <v/>
      </c>
      <c r="B12" s="2" t="inlineStr"/>
      <c r="C12" s="2" t="inlineStr"/>
      <c r="D12" s="3" t="inlineStr"/>
    </row>
    <row r="13">
      <c r="A13" s="2" t="inlineStr">
        <is>
          <t>미국 달러 (USD)</t>
        </is>
      </c>
      <c r="B13" s="2" t="inlineStr">
        <is>
          <t>▲ +6.29원 (+0.47%)</t>
        </is>
      </c>
      <c r="C13" s="2" t="inlineStr">
        <is>
          <t>1,347.48원</t>
        </is>
      </c>
      <c r="D13" s="3" t="inlineStr">
        <is>
          <t>주요 통화 환율</t>
        </is>
      </c>
    </row>
    <row r="14">
      <c r="A14" s="2" t="inlineStr">
        <is>
          <t>일본 100엔 (JPY)</t>
        </is>
      </c>
      <c r="B14" s="2" t="inlineStr">
        <is>
          <t>▲ +3.00원 (+0.35%)</t>
        </is>
      </c>
      <c r="C14" s="2" t="inlineStr">
        <is>
          <t>849.70원</t>
        </is>
      </c>
      <c r="D14" s="3" t="inlineStr">
        <is>
          <t>주요 통화 환율</t>
        </is>
      </c>
    </row>
    <row r="15">
      <c r="A15" s="2" t="inlineStr">
        <is>
          <t>유로 (EUR)</t>
        </is>
      </c>
      <c r="B15" s="2" t="inlineStr">
        <is>
          <t>▲ +5.80원 (+0.39%)</t>
        </is>
      </c>
      <c r="C15" s="2" t="inlineStr">
        <is>
          <t>1,509.70원</t>
        </is>
      </c>
      <c r="D15" s="3" t="inlineStr">
        <is>
          <t>주요 통화 환율</t>
        </is>
      </c>
    </row>
    <row r="16">
      <c r="A16" s="2" t="inlineStr">
        <is>
          <t>중국 위안 (CNY)</t>
        </is>
      </c>
      <c r="B16" s="2" t="inlineStr">
        <is>
          <t>▲ +0.83원 (+0.41%)</t>
        </is>
      </c>
      <c r="C16" s="2" t="inlineStr">
        <is>
          <t>201.35원</t>
        </is>
      </c>
      <c r="D16" s="3" t="inlineStr">
        <is>
          <t>주요 통화 환율</t>
        </is>
      </c>
    </row>
    <row r="17">
      <c r="A17" s="2" t="inlineStr"/>
      <c r="B17" s="2" t="inlineStr"/>
      <c r="C17" s="2" t="inlineStr"/>
      <c r="D17" s="3" t="inlineStr"/>
    </row>
    <row r="18">
      <c r="A18" s="2">
        <f>== [주요 증시 뉴스] ===</f>
        <v/>
      </c>
      <c r="B18" s="2" t="inlineStr"/>
      <c r="C18" s="2" t="inlineStr"/>
      <c r="D18" s="3" t="inlineStr"/>
    </row>
    <row r="19">
      <c r="A19" s="2" t="inlineStr">
        <is>
          <t>증권사 리서치</t>
        </is>
      </c>
      <c r="B19" s="2" t="inlineStr">
        <is>
          <t>[하나증권] 두산에너빌리티: 연내 SMR 추가 수주 기대</t>
        </is>
      </c>
      <c r="C19" s="2" t="inlineStr">
        <is>
          <t>📘 애널리스트 리포트</t>
        </is>
      </c>
      <c r="D19" s="3" t="inlineStr">
        <is>
          <t>https://m.stock.naver.com/research/company/96804</t>
        </is>
      </c>
    </row>
    <row r="20">
      <c r="A20" s="2" t="inlineStr">
        <is>
          <t>증권사 리서치</t>
        </is>
      </c>
      <c r="B20" s="2" t="inlineStr">
        <is>
          <t>[한화투자증권] 대한항공: [3Q26 Review] 2Q 성과급 미반영분 반영</t>
        </is>
      </c>
      <c r="C20" s="2" t="inlineStr">
        <is>
          <t>📘 애널리스트 리포트</t>
        </is>
      </c>
      <c r="D20" s="3" t="inlineStr">
        <is>
          <t>https://m.stock.naver.com/research/company/96803</t>
        </is>
      </c>
    </row>
    <row r="21">
      <c r="A21" s="2" t="inlineStr">
        <is>
          <t>증권사 리서치</t>
        </is>
      </c>
      <c r="B21" s="2" t="inlineStr">
        <is>
          <t>[한화투자증권] 코웨이: 3Q26 Preview : 멈추지 않는 해외법인 성장</t>
        </is>
      </c>
      <c r="C21" s="2" t="inlineStr">
        <is>
          <t>📘 애널리스트 리포트</t>
        </is>
      </c>
      <c r="D21" s="3" t="inlineStr">
        <is>
          <t>https://m.stock.naver.com/research/company/96802</t>
        </is>
      </c>
    </row>
    <row r="22">
      <c r="A22" s="2" t="inlineStr">
        <is>
          <t>증권사 리서치</t>
        </is>
      </c>
      <c r="B22" s="2" t="inlineStr">
        <is>
          <t>[교보증권] 한미약품: 3Q26 Preveiw: 계약금 이연으로 실적 일시적 휴식</t>
        </is>
      </c>
      <c r="C22" s="2" t="inlineStr">
        <is>
          <t>📘 애널리스트 리포트</t>
        </is>
      </c>
      <c r="D22" s="3" t="inlineStr">
        <is>
          <t>https://m.stock.naver.com/research/company/96801</t>
        </is>
      </c>
    </row>
    <row r="23">
      <c r="A23" s="2" t="inlineStr">
        <is>
          <t>증권사 리서치</t>
        </is>
      </c>
      <c r="B23" s="2" t="inlineStr">
        <is>
          <t>[하나증권] 대한항공: 3Q26 Re: 인건비에 깜짝 놀랐지만 여전히 견조한 체력</t>
        </is>
      </c>
      <c r="C23" s="2" t="inlineStr">
        <is>
          <t>📘 애널리스트 리포트</t>
        </is>
      </c>
      <c r="D23" s="3" t="inlineStr">
        <is>
          <t>https://m.stock.naver.com/research/company/96800</t>
        </is>
      </c>
    </row>
    <row r="24">
      <c r="A24" s="2" t="inlineStr">
        <is>
          <t>증권사 리서치</t>
        </is>
      </c>
      <c r="B24" s="2" t="inlineStr">
        <is>
          <t>[하나증권] 세나테크놀로지: 내년도 로봇 매출 실현을 기다리며</t>
        </is>
      </c>
      <c r="C24" s="2" t="inlineStr">
        <is>
          <t>📘 애널리스트 리포트</t>
        </is>
      </c>
      <c r="D24" s="3" t="inlineStr">
        <is>
          <t>https://m.stock.naver.com/research/company/96799</t>
        </is>
      </c>
    </row>
    <row r="25">
      <c r="A25" s="2" t="inlineStr">
        <is>
          <t>증권사 리서치</t>
        </is>
      </c>
      <c r="B25" s="2" t="inlineStr">
        <is>
          <t>[하나증권] 롯데에너지머티리얼즈: 3Q26 Preview: 전지박 출하 QoQ +40% 전망</t>
        </is>
      </c>
      <c r="C25" s="2" t="inlineStr">
        <is>
          <t>📘 애널리스트 리포트</t>
        </is>
      </c>
      <c r="D25" s="3" t="inlineStr">
        <is>
          <t>https://m.stock.naver.com/research/company/96798</t>
        </is>
      </c>
    </row>
    <row r="26">
      <c r="A26" s="2" t="inlineStr">
        <is>
          <t>증권사 리서치</t>
        </is>
      </c>
      <c r="B26" s="2" t="inlineStr">
        <is>
          <t>[하나증권] 현대건설: 부진한 플랜트, 만회하는 주택</t>
        </is>
      </c>
      <c r="C26" s="2" t="inlineStr">
        <is>
          <t>📘 애널리스트 리포트</t>
        </is>
      </c>
      <c r="D26" s="3" t="inlineStr">
        <is>
          <t>https://m.stock.naver.com/research/company/96797</t>
        </is>
      </c>
    </row>
    <row r="27">
      <c r="A27" s="2" t="inlineStr">
        <is>
          <t>증권사 리서치</t>
        </is>
      </c>
      <c r="B27" s="2" t="inlineStr">
        <is>
          <t>[하나증권] SK가스: 배당성장주의 정석</t>
        </is>
      </c>
      <c r="C27" s="2" t="inlineStr">
        <is>
          <t>📘 애널리스트 리포트</t>
        </is>
      </c>
      <c r="D27" s="3" t="inlineStr">
        <is>
          <t>https://m.stock.naver.com/research/company/96796</t>
        </is>
      </c>
    </row>
    <row r="28">
      <c r="A28" s="2" t="inlineStr">
        <is>
          <t>증권사 리서치</t>
        </is>
      </c>
      <c r="B28" s="2" t="inlineStr">
        <is>
          <t>[유안타증권] 대우건설: 곧 수주가 대거 몰려온다!</t>
        </is>
      </c>
      <c r="C28" s="2" t="inlineStr">
        <is>
          <t>📘 애널리스트 리포트</t>
        </is>
      </c>
      <c r="D28" s="3" t="inlineStr">
        <is>
          <t>https://m.stock.naver.com/research/company/96795</t>
        </is>
      </c>
    </row>
    <row r="29">
      <c r="A29" s="2" t="inlineStr">
        <is>
          <t>주가동향/기업발표</t>
        </is>
      </c>
      <c r="B29" s="2" t="inlineStr">
        <is>
          <t>TSMC(TSM), 3분기 실적 발표…가이던스 상단 돌파</t>
        </is>
      </c>
      <c r="C29" s="2" t="inlineStr">
        <is>
          <t>🔵 신규 발표 / 모멘텀 형성</t>
        </is>
      </c>
      <c r="D29" s="3" t="inlineStr">
        <is>
          <t>https://news.google.com/rss/articles/CBMidkFVX3lxTE9rOTI0S2RNc0FBbm83Y3BOZllmdERrVHlqM3VCeHE2NXRpcldpb29XaFJYaWJCNzRldlM1NjRyZjBHQnMyRjZDOWZyRWM3enJtQl9aVGtqdTRDY2t3LUFZZDVmY19rbXZ1Sk1Ic2wxeERPQTVJQXc?oc=5</t>
        </is>
      </c>
    </row>
    <row r="30">
      <c r="A30" s="2" t="inlineStr">
        <is>
          <t>주가동향/기업발표</t>
        </is>
      </c>
      <c r="B30" s="2" t="inlineStr">
        <is>
          <t>[개장시황] 코스피, 개인·기관 '사자'에 급락 하루 만에 1%대 반등</t>
        </is>
      </c>
      <c r="C30" s="2" t="inlineStr">
        <is>
          <t>🔴 부정적 / 변동성 주의</t>
        </is>
      </c>
      <c r="D30" s="3" t="inlineStr">
        <is>
          <t>https://news.google.com/rss/articles/CBMiXEFVX3lxTE85dmpnaXZxWUQ2QkRkRURQUmx2SDVUUVRFRFJtYkNXdXBHNnJaeEdyWWwwXzlxRlNqUHJfenVldVNyeEFkamxMdnctTHEtY1prMUJBRTJrTkNJVlNO?oc=5</t>
        </is>
      </c>
    </row>
    <row r="31">
      <c r="A31" s="2" t="inlineStr">
        <is>
          <t>주가동향/기업발표</t>
        </is>
      </c>
      <c r="B31" s="2" t="inlineStr">
        <is>
          <t>[개장시황] 코스피, 전날 급락 딛고 1.49% 반등…5630선</t>
        </is>
      </c>
      <c r="C31" s="2" t="inlineStr">
        <is>
          <t>🔴 부정적 / 변동성 주의</t>
        </is>
      </c>
      <c r="D31" s="3" t="inlineStr">
        <is>
          <t>https://news.google.com/rss/articles/CBMiWkFVX3lxTE9FY25xSVo2RmVTVEtFajdWV0phZ21leXZZZms2M2tFN25BSHk5TUJ1eXMxRjJXWWlTXzdZUl93T1NrTDZtYVpuOTR1aVFiVDBJSWZqSG9aeF9fZw?oc=5</t>
        </is>
      </c>
    </row>
    <row r="32">
      <c r="A32" s="2" t="inlineStr">
        <is>
          <t>주가동향/기업발표</t>
        </is>
      </c>
      <c r="B32" s="2" t="inlineStr">
        <is>
          <t>[개장시황] 삼성생명 5.04% 급등…폭락 끝낸 코스피 반등 이유</t>
        </is>
      </c>
      <c r="C32" s="2" t="inlineStr">
        <is>
          <t>🟢 긍정적 / 상승 전망</t>
        </is>
      </c>
      <c r="D32" s="3" t="inlineStr">
        <is>
          <t>https://news.google.com/rss/articles/CBMiZ0FVX3lxTFA1bHZSRXVudVlMeEFSWU9DQ24yTG5nZXBoY1pzZTlldTFGWlBHZkFxVWc0Q1FxcnpBcXhOWHNnamxTbUNxQkpZd0xQN1pHYVMtNHFxZmdHa09kRDZGMUk2WVNFMDNTbWM?oc=5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0"/>
  <sheetViews>
    <sheetView workbookViewId="0">
      <selection activeCell="A1" sqref="A1"/>
    </sheetView>
  </sheetViews>
  <sheetFormatPr baseColWidth="8" defaultRowHeight="15"/>
  <cols>
    <col width="29" customWidth="1" min="1" max="1"/>
    <col width="12" customWidth="1" min="2" max="2"/>
    <col width="21" customWidth="1" min="3" max="3"/>
    <col width="25" customWidth="1" min="4" max="4"/>
    <col width="25" customWidth="1" min="5" max="5"/>
    <col width="25" customWidth="1" min="6" max="6"/>
    <col width="25" customWidth="1" min="7" max="7"/>
    <col width="14" customWidth="1" min="8" max="8"/>
    <col width="14" customWidth="1" min="9" max="9"/>
    <col width="37" customWidth="1" min="10" max="10"/>
    <col width="65" customWidth="1" min="11" max="11"/>
    <col width="34" customWidth="1" min="12" max="12"/>
    <col width="65" customWidth="1" min="13" max="13"/>
    <col width="12" customWidth="1" min="14" max="14"/>
    <col width="15" customWidth="1" min="15" max="15"/>
    <col width="12" customWidth="1" min="16" max="16"/>
    <col width="65" customWidth="1" min="17" max="17"/>
    <col width="53" customWidth="1" min="18" max="18"/>
  </cols>
  <sheetData>
    <row r="1">
      <c r="A1" s="1" t="inlineStr">
        <is>
          <t>종목명</t>
        </is>
      </c>
      <c r="B1" s="1" t="inlineStr">
        <is>
          <t>티커</t>
        </is>
      </c>
      <c r="C1" s="1" t="inlineStr">
        <is>
          <t>섹터</t>
        </is>
      </c>
      <c r="D1" s="1" t="inlineStr">
        <is>
          <t>현재가</t>
        </is>
      </c>
      <c r="E1" s="1" t="inlineStr">
        <is>
          <t>전일대비</t>
        </is>
      </c>
      <c r="F1" s="1" t="inlineStr">
        <is>
          <t>매수_추천금액</t>
        </is>
      </c>
      <c r="G1" s="1" t="inlineStr">
        <is>
          <t>목표_매도금액</t>
        </is>
      </c>
      <c r="H1" s="1" t="inlineStr">
        <is>
          <t>손절_기준가</t>
        </is>
      </c>
      <c r="I1" s="1" t="inlineStr">
        <is>
          <t>기대_수익률</t>
        </is>
      </c>
      <c r="J1" s="1" t="inlineStr">
        <is>
          <t>단기신호</t>
        </is>
      </c>
      <c r="K1" s="1" t="inlineStr">
        <is>
          <t>단기근거</t>
        </is>
      </c>
      <c r="L1" s="1" t="inlineStr">
        <is>
          <t>장기신호</t>
        </is>
      </c>
      <c r="M1" s="1" t="inlineStr">
        <is>
          <t>장기근거</t>
        </is>
      </c>
      <c r="N1" s="1" t="inlineStr">
        <is>
          <t>RSI(14)</t>
        </is>
      </c>
      <c r="O1" s="1" t="inlineStr">
        <is>
          <t>20일선이격도</t>
        </is>
      </c>
      <c r="P1" s="1" t="inlineStr">
        <is>
          <t>52주위치</t>
        </is>
      </c>
      <c r="Q1" s="1" t="inlineStr">
        <is>
          <t>핵심뉴스</t>
        </is>
      </c>
      <c r="R1" s="1" t="inlineStr">
        <is>
          <t>recent_closes</t>
        </is>
      </c>
    </row>
    <row r="2">
      <c r="A2" s="2" t="inlineStr">
        <is>
          <t>삼성전자</t>
        </is>
      </c>
      <c r="B2" s="2" t="inlineStr">
        <is>
          <t>005930.KS</t>
        </is>
      </c>
      <c r="C2" s="2" t="inlineStr">
        <is>
          <t>반도체/IT</t>
        </is>
      </c>
      <c r="D2" s="3" t="inlineStr">
        <is>
          <t>214,000원</t>
        </is>
      </c>
      <c r="E2" s="3" t="inlineStr">
        <is>
          <t>-3,250원 (-1.49%)</t>
        </is>
      </c>
      <c r="F2" s="3" t="inlineStr">
        <is>
          <t>210,000원</t>
        </is>
      </c>
      <c r="G2" s="3" t="inlineStr">
        <is>
          <t>285,500원</t>
        </is>
      </c>
      <c r="H2" s="3" t="inlineStr">
        <is>
          <t>203,500원</t>
        </is>
      </c>
      <c r="I2" s="3" t="inlineStr">
        <is>
          <t>+36.0%</t>
        </is>
      </c>
      <c r="J2" s="3" t="inlineStr">
        <is>
          <t>관망 (HOLD)</t>
        </is>
      </c>
      <c r="K2" s="3" t="inlineStr">
        <is>
          <t>중립 구간 유지 중</t>
        </is>
      </c>
      <c r="L2" s="3" t="inlineStr">
        <is>
          <t>보유 / 중립 (HOLD)</t>
        </is>
      </c>
      <c r="M2" s="3" t="inlineStr">
        <is>
          <t>장기 추세 유지</t>
        </is>
      </c>
      <c r="N2" s="3" t="n">
        <v>30.5</v>
      </c>
      <c r="O2" s="3" t="inlineStr">
        <is>
          <t>-16.9%</t>
        </is>
      </c>
      <c r="P2" s="3" t="inlineStr">
        <is>
          <t>42.8%</t>
        </is>
      </c>
      <c r="Q2" s="3" t="inlineStr">
        <is>
          <t>“삼전 7만, 하닉 20만원이 적정” ‘검은 목요일’에 소환된 한 애널의 분석 (문화일보)</t>
        </is>
      </c>
      <c r="R2" s="3" t="inlineStr">
        <is>
          <t>[248500.0, 253500.0, 252500.0, 261000.0, 274000.0, 276500.0, 285500.0, 270000.0, 272500.0, 268500.0, 276000.0, 276000.0, 272000.0, 268500.0, 262000.0, 250500.0, 232000.0, 232000.0, 210000.0, 214250.0]</t>
        </is>
      </c>
    </row>
    <row r="3">
      <c r="A3" s="2" t="inlineStr">
        <is>
          <t>SK하이닉스</t>
        </is>
      </c>
      <c r="B3" s="2" t="inlineStr">
        <is>
          <t>000660.KS</t>
        </is>
      </c>
      <c r="C3" s="2" t="inlineStr">
        <is>
          <t>반도체/AI</t>
        </is>
      </c>
      <c r="D3" s="3" t="inlineStr">
        <is>
          <t>1,292,000원</t>
        </is>
      </c>
      <c r="E3" s="3" t="inlineStr">
        <is>
          <t>+137,000원 (+11.86%)</t>
        </is>
      </c>
      <c r="F3" s="3" t="inlineStr">
        <is>
          <t>1,266,000원</t>
        </is>
      </c>
      <c r="G3" s="3" t="inlineStr">
        <is>
          <t>1,868,000원</t>
        </is>
      </c>
      <c r="H3" s="3" t="inlineStr">
        <is>
          <t>1,227,500원</t>
        </is>
      </c>
      <c r="I3" s="3" t="inlineStr">
        <is>
          <t>+47.5%</t>
        </is>
      </c>
      <c r="J3" s="3" t="inlineStr">
        <is>
          <t>관망 (HOLD)</t>
        </is>
      </c>
      <c r="K3" s="3" t="inlineStr">
        <is>
          <t>중립 구간 유지 중</t>
        </is>
      </c>
      <c r="L3" s="3" t="inlineStr">
        <is>
          <t>보유 / 중립 (HOLD)</t>
        </is>
      </c>
      <c r="M3" s="3" t="inlineStr">
        <is>
          <t>장기 추세 유지</t>
        </is>
      </c>
      <c r="N3" s="3" t="n">
        <v>27.7</v>
      </c>
      <c r="O3" s="3" t="inlineStr">
        <is>
          <t>-23.6%</t>
        </is>
      </c>
      <c r="P3" s="3" t="inlineStr">
        <is>
          <t>34.0%</t>
        </is>
      </c>
      <c r="Q3" s="3" t="inlineStr">
        <is>
          <t>최근 특이 뉴스 없음</t>
        </is>
      </c>
      <c r="R3" s="3" t="inlineStr">
        <is>
          <t>[1690000.0, 1759000.0, 1745000.0, 1857000.0, 1868000.0, 1840000.0, 1862000.0, 1768000.0, 1765000.0, 1776000.0, 1833000.0, 1841000.0, 1773000.0, 1723000.0, 1681000.0, 1605000.0, 1443000.0, 1419000.0, 1262000.0, 1292000.0]</t>
        </is>
      </c>
    </row>
    <row r="4">
      <c r="A4" s="2" t="inlineStr">
        <is>
          <t>현대차</t>
        </is>
      </c>
      <c r="B4" s="2" t="inlineStr">
        <is>
          <t>005380.KS</t>
        </is>
      </c>
      <c r="C4" s="2" t="inlineStr">
        <is>
          <t>자동차/모빌리티</t>
        </is>
      </c>
      <c r="D4" s="3" t="inlineStr">
        <is>
          <t>310,000원</t>
        </is>
      </c>
      <c r="E4" s="3" t="inlineStr">
        <is>
          <t>-224,250원 (-41.99%)</t>
        </is>
      </c>
      <c r="F4" s="3" t="inlineStr">
        <is>
          <t>280,500원</t>
        </is>
      </c>
      <c r="G4" s="3" t="inlineStr">
        <is>
          <t>306,500원</t>
        </is>
      </c>
      <c r="H4" s="3" t="inlineStr">
        <is>
          <t>300,500원</t>
        </is>
      </c>
      <c r="I4" s="3" t="inlineStr">
        <is>
          <t>+9.2%</t>
        </is>
      </c>
      <c r="J4" s="3" t="inlineStr">
        <is>
          <t>🔴 단기 비중 축소 (추세 이탈 경고)</t>
        </is>
      </c>
      <c r="K4" s="3" t="inlineStr">
        <is>
          <t>주가가 20일선(341,862원)을 하향 이탈하고 이동평균선 역배열 지속. 리스크 관리 차원 비중 축소 권고</t>
        </is>
      </c>
      <c r="L4" s="3" t="inlineStr">
        <is>
          <t>⚠️ 장기 비중 축소 / 손절 검토</t>
        </is>
      </c>
      <c r="M4" s="3" t="inlineStr">
        <is>
          <t>60일선 하향 이탈 및 52주 신저가 부근, 중장기 추세 하향 전환 우려</t>
        </is>
      </c>
      <c r="N4" s="3" t="n">
        <v>29.1</v>
      </c>
      <c r="O4" s="3" t="inlineStr">
        <is>
          <t>-9.4%</t>
        </is>
      </c>
      <c r="P4" s="3" t="inlineStr">
        <is>
          <t>13.8%</t>
        </is>
      </c>
      <c r="Q4" s="3" t="inlineStr">
        <is>
          <t>中당국, 2억원짜리 화웨이 전기차 브레이크 결함 의혹 합동조사 (주요언론)</t>
        </is>
      </c>
      <c r="R4" s="3" t="inlineStr">
        <is>
          <t>[367000.0, 362000.0, 363000.0, 365000.0, 359000.0, 360500.0, 353500.0, 354500.0, 350000.0, 345000.0, 349000.0, 346500.0, 348000.0, 336000.0, 324500.0, 320000.0, 315000.0, 313500.0, 295500.0, 309750.0]</t>
        </is>
      </c>
    </row>
    <row r="5">
      <c r="A5" s="2" t="inlineStr">
        <is>
          <t>기아</t>
        </is>
      </c>
      <c r="B5" s="2" t="inlineStr">
        <is>
          <t>000270.KS</t>
        </is>
      </c>
      <c r="C5" s="2" t="inlineStr">
        <is>
          <t>자동차/모빌리티</t>
        </is>
      </c>
      <c r="D5" s="3" t="inlineStr">
        <is>
          <t>111,000원</t>
        </is>
      </c>
      <c r="E5" s="3" t="inlineStr">
        <is>
          <t>-46,800원 (-29.64%)</t>
        </is>
      </c>
      <c r="F5" s="3" t="inlineStr">
        <is>
          <t>109,000원</t>
        </is>
      </c>
      <c r="G5" s="3" t="inlineStr">
        <is>
          <t>122,000원</t>
        </is>
      </c>
      <c r="H5" s="3" t="inlineStr">
        <is>
          <t>105,500원</t>
        </is>
      </c>
      <c r="I5" s="3" t="inlineStr">
        <is>
          <t>+12.0%</t>
        </is>
      </c>
      <c r="J5" s="3" t="inlineStr">
        <is>
          <t>관망 (HOLD)</t>
        </is>
      </c>
      <c r="K5" s="3" t="inlineStr">
        <is>
          <t>중립 구간 유지 중</t>
        </is>
      </c>
      <c r="L5" s="3" t="inlineStr">
        <is>
          <t>⚠️ 장기 비중 축소 / 손절 검토</t>
        </is>
      </c>
      <c r="M5" s="3" t="inlineStr">
        <is>
          <t>60일선 하향 이탈 및 52주 신저가 부근, 중장기 추세 하향 전환 우려</t>
        </is>
      </c>
      <c r="N5" s="3" t="n">
        <v>40.1</v>
      </c>
      <c r="O5" s="3" t="inlineStr">
        <is>
          <t>-2.7%</t>
        </is>
      </c>
      <c r="P5" s="3" t="inlineStr">
        <is>
          <t>7.7%</t>
        </is>
      </c>
      <c r="Q5" s="3" t="inlineStr">
        <is>
          <t>최근 특이 뉴스 없음</t>
        </is>
      </c>
      <c r="R5" s="3" t="inlineStr">
        <is>
          <t>[121800.0, 120700.0, 120900.0, 121900.0, 120000.0, 118500.0, 115400.0, 117600.0, 116000.0, 112800.0, 113300.0, 112900.0, 112600.0, 109600.0, 106800.0, 108100.0, 108300.0, 108600.0, 105900.0, 111100.0]</t>
        </is>
      </c>
    </row>
    <row r="6">
      <c r="A6" s="2" t="inlineStr">
        <is>
          <t>NAVER</t>
        </is>
      </c>
      <c r="B6" s="2" t="inlineStr">
        <is>
          <t>035420.KS</t>
        </is>
      </c>
      <c r="C6" s="2" t="inlineStr">
        <is>
          <t>인터넷/AI</t>
        </is>
      </c>
      <c r="D6" s="3" t="inlineStr">
        <is>
          <t>181,500원</t>
        </is>
      </c>
      <c r="E6" s="3" t="inlineStr">
        <is>
          <t>-37,000원 (-16.93%)</t>
        </is>
      </c>
      <c r="F6" s="3" t="inlineStr">
        <is>
          <t>178,000원</t>
        </is>
      </c>
      <c r="G6" s="3" t="inlineStr">
        <is>
          <t>206,000원</t>
        </is>
      </c>
      <c r="H6" s="3" t="inlineStr">
        <is>
          <t>172,500원</t>
        </is>
      </c>
      <c r="I6" s="3" t="inlineStr">
        <is>
          <t>+15.8%</t>
        </is>
      </c>
      <c r="J6" s="3" t="inlineStr">
        <is>
          <t>관망 (HOLD)</t>
        </is>
      </c>
      <c r="K6" s="3" t="inlineStr">
        <is>
          <t>중립 구간 유지 중</t>
        </is>
      </c>
      <c r="L6" s="3" t="inlineStr">
        <is>
          <t>⚠️ 장기 비중 축소 / 손절 검토</t>
        </is>
      </c>
      <c r="M6" s="3" t="inlineStr">
        <is>
          <t>60일선 하향 이탈 및 52주 신저가 부근, 중장기 추세 하향 전환 우려</t>
        </is>
      </c>
      <c r="N6" s="3" t="n">
        <v>37.2</v>
      </c>
      <c r="O6" s="3" t="inlineStr">
        <is>
          <t>-5.1%</t>
        </is>
      </c>
      <c r="P6" s="3" t="inlineStr">
        <is>
          <t>6.3%</t>
        </is>
      </c>
      <c r="Q6" s="3" t="inlineStr">
        <is>
          <t>[테크스냅] 네이버 치지직, 2026 LoL 월드 챔피언십 생중계 (주요언론)</t>
        </is>
      </c>
      <c r="R6" s="3" t="inlineStr">
        <is>
          <t>[206000.0, 201500.0, 199000.0, 197700.0, 197900.0, 201000.0, 194700.0, 197700.0, 194800.0, 193700.0, 191200.0, 192200.0, 191100.0, 189000.0, 183800.0, 180500.0, 178000.0, 179400.0, 173600.0, 181500.0]</t>
        </is>
      </c>
    </row>
    <row r="7">
      <c r="A7" s="2" t="inlineStr">
        <is>
          <t>카카오</t>
        </is>
      </c>
      <c r="B7" s="2" t="inlineStr">
        <is>
          <t>035720.KS</t>
        </is>
      </c>
      <c r="C7" s="2" t="inlineStr">
        <is>
          <t>인터넷/플랫폼</t>
        </is>
      </c>
      <c r="D7" s="3" t="inlineStr">
        <is>
          <t>32,400원</t>
        </is>
      </c>
      <c r="E7" s="3" t="inlineStr">
        <is>
          <t>-18,150원 (-35.87%)</t>
        </is>
      </c>
      <c r="F7" s="3" t="inlineStr">
        <is>
          <t>31,800원</t>
        </is>
      </c>
      <c r="G7" s="3" t="inlineStr">
        <is>
          <t>34,500원</t>
        </is>
      </c>
      <c r="H7" s="3" t="inlineStr">
        <is>
          <t>30,800원</t>
        </is>
      </c>
      <c r="I7" s="3" t="inlineStr">
        <is>
          <t>+8.5%</t>
        </is>
      </c>
      <c r="J7" s="3" t="inlineStr">
        <is>
          <t>관망 (HOLD)</t>
        </is>
      </c>
      <c r="K7" s="3" t="inlineStr">
        <is>
          <t>중립 구간 유지 중</t>
        </is>
      </c>
      <c r="L7" s="3" t="inlineStr">
        <is>
          <t>보유 / 중립 (HOLD)</t>
        </is>
      </c>
      <c r="M7" s="3" t="inlineStr">
        <is>
          <t>장기 추세 유지</t>
        </is>
      </c>
      <c r="N7" s="3" t="n">
        <v>42.4</v>
      </c>
      <c r="O7" s="3" t="inlineStr">
        <is>
          <t>-1.9%</t>
        </is>
      </c>
      <c r="P7" s="3" t="inlineStr">
        <is>
          <t>5.6%</t>
        </is>
      </c>
      <c r="Q7" s="3" t="inlineStr">
        <is>
          <t>카카오 "고용·근로조건 포괄승계"…인적분할 앞두고 직원설명회 (주요언론)</t>
        </is>
      </c>
      <c r="R7" s="3" t="inlineStr">
        <is>
          <t>[34500.0, 33500.0, 33500.0, 33550.0, 33200.0, 34150.0, 33450.0, 34150.0, 33700.0, 33550.0, 33550.0, 33450.0, 33500.0, 33050.0, 32300.0, 32000.0, 31300.0, 31700.0, 31000.0, 32450.0]</t>
        </is>
      </c>
    </row>
    <row r="8">
      <c r="A8" s="2" t="inlineStr">
        <is>
          <t>셀트리온</t>
        </is>
      </c>
      <c r="B8" s="2" t="inlineStr">
        <is>
          <t>068270.KS</t>
        </is>
      </c>
      <c r="C8" s="2" t="inlineStr">
        <is>
          <t>바이오/헬스케어</t>
        </is>
      </c>
      <c r="D8" s="3" t="inlineStr">
        <is>
          <t>192,500원</t>
        </is>
      </c>
      <c r="E8" s="3" t="inlineStr">
        <is>
          <t>-6,447원 (-3.24%)</t>
        </is>
      </c>
      <c r="F8" s="3" t="inlineStr">
        <is>
          <t>180,500원</t>
        </is>
      </c>
      <c r="G8" s="3" t="inlineStr">
        <is>
          <t>202,000원</t>
        </is>
      </c>
      <c r="H8" s="3" t="inlineStr">
        <is>
          <t>183,000원</t>
        </is>
      </c>
      <c r="I8" s="3" t="inlineStr">
        <is>
          <t>+11.9%</t>
        </is>
      </c>
      <c r="J8" s="3" t="inlineStr">
        <is>
          <t>관망 (HOLD)</t>
        </is>
      </c>
      <c r="K8" s="3" t="inlineStr">
        <is>
          <t>중립 구간 유지 중</t>
        </is>
      </c>
      <c r="L8" s="3" t="inlineStr">
        <is>
          <t>보유 / 중립 (HOLD)</t>
        </is>
      </c>
      <c r="M8" s="3" t="inlineStr">
        <is>
          <t>장기 추세 유지</t>
        </is>
      </c>
      <c r="N8" s="3" t="n">
        <v>66.3</v>
      </c>
      <c r="O8" s="3" t="inlineStr">
        <is>
          <t>+6.6%</t>
        </is>
      </c>
      <c r="P8" s="3" t="inlineStr">
        <is>
          <t>42.3%</t>
        </is>
      </c>
      <c r="Q8" s="3" t="inlineStr">
        <is>
          <t>최근 특이 뉴스 없음</t>
        </is>
      </c>
      <c r="R8" s="3" t="inlineStr">
        <is>
          <t>[177500.0, 177200.0, 180300.0, 179400.0, 181400.0, 178500.0, 177400.0, 178300.0, 178900.0, 177700.0, 183600.0, 182600.0, 182400.0, 183500.0, 179600.0, 180400.0, 179700.0, 179800.0, 182100.0, 192600.0]</t>
        </is>
      </c>
    </row>
    <row r="9">
      <c r="A9" s="2" t="inlineStr">
        <is>
          <t>한화에어로스페이스</t>
        </is>
      </c>
      <c r="B9" s="2" t="inlineStr">
        <is>
          <t>012450.KS</t>
        </is>
      </c>
      <c r="C9" s="2" t="inlineStr">
        <is>
          <t>방산/우주</t>
        </is>
      </c>
      <c r="D9" s="3" t="inlineStr">
        <is>
          <t>905,000원</t>
        </is>
      </c>
      <c r="E9" s="3" t="inlineStr">
        <is>
          <t>-614,000원 (-40.42%)</t>
        </is>
      </c>
      <c r="F9" s="3" t="inlineStr">
        <is>
          <t>783,000원</t>
        </is>
      </c>
      <c r="G9" s="3" t="inlineStr">
        <is>
          <t>896,000원</t>
        </is>
      </c>
      <c r="H9" s="3" t="inlineStr">
        <is>
          <t>878,000원</t>
        </is>
      </c>
      <c r="I9" s="3" t="inlineStr">
        <is>
          <t>+14.5%</t>
        </is>
      </c>
      <c r="J9" s="3" t="inlineStr">
        <is>
          <t>🔴 단기 비중 축소 (추세 이탈 경고)</t>
        </is>
      </c>
      <c r="K9" s="3" t="inlineStr">
        <is>
          <t>주가가 20일선(987,750원)을 하향 이탈하고 이동평균선 역배열 지속. 리스크 관리 차원 비중 축소 권고</t>
        </is>
      </c>
      <c r="L9" s="3" t="inlineStr">
        <is>
          <t>⚠️ 장기 비중 축소 / 손절 검토</t>
        </is>
      </c>
      <c r="M9" s="3" t="inlineStr">
        <is>
          <t>60일선 하향 이탈 및 52주 신저가 부근, 중장기 추세 하향 전환 우려</t>
        </is>
      </c>
      <c r="N9" s="3" t="n">
        <v>41.2</v>
      </c>
      <c r="O9" s="3" t="inlineStr">
        <is>
          <t>-8.4%</t>
        </is>
      </c>
      <c r="P9" s="3" t="inlineStr">
        <is>
          <t>14.0%</t>
        </is>
      </c>
      <c r="Q9" s="3" t="inlineStr">
        <is>
          <t>최근 특이 뉴스 없음</t>
        </is>
      </c>
      <c r="R9" s="3" t="inlineStr">
        <is>
          <t>[1063000.0, 1055000.0, 1097000.0, 1078000.0, 1067000.0, 1057000.0, 1021000.0, 1034000.0, 1012000.0, 1007000.0, 1034000.0, 1072000.0, 1023000.0, 972000.0, 891000.0, 862000.0, 839000.0, 842000.0, 824000.0, 905000.0]</t>
        </is>
      </c>
    </row>
    <row r="10">
      <c r="A10" s="2" t="inlineStr">
        <is>
          <t>LG에너지솔루션</t>
        </is>
      </c>
      <c r="B10" s="2" t="inlineStr">
        <is>
          <t>373220.KS</t>
        </is>
      </c>
      <c r="C10" s="2" t="inlineStr">
        <is>
          <t>2차전지/배터리</t>
        </is>
      </c>
      <c r="D10" s="3" t="inlineStr">
        <is>
          <t>404,000원</t>
        </is>
      </c>
      <c r="E10" s="3" t="inlineStr">
        <is>
          <t>-12,000원 (-2.88%)</t>
        </is>
      </c>
      <c r="F10" s="3" t="inlineStr">
        <is>
          <t>377,000원</t>
        </is>
      </c>
      <c r="G10" s="3" t="inlineStr">
        <is>
          <t>404,000원</t>
        </is>
      </c>
      <c r="H10" s="3" t="inlineStr">
        <is>
          <t>396,000원</t>
        </is>
      </c>
      <c r="I10" s="3" t="inlineStr">
        <is>
          <t>+7.2%</t>
        </is>
      </c>
      <c r="J10" s="3" t="inlineStr">
        <is>
          <t>🔴 오늘 단기 매도 (과열 차익실현)</t>
        </is>
      </c>
      <c r="K10" s="3" t="inlineStr">
        <is>
          <t>RSI 61.0, 20일선 이격도 +7.2%로 단기 과열권 진입. 욕심을 줄이고 분할 차익 실현 권고</t>
        </is>
      </c>
      <c r="L10" s="3" t="inlineStr">
        <is>
          <t>보유 / 중립 (HOLD)</t>
        </is>
      </c>
      <c r="M10" s="3" t="inlineStr">
        <is>
          <t>장기 추세 유지</t>
        </is>
      </c>
      <c r="N10" s="3" t="n">
        <v>61</v>
      </c>
      <c r="O10" s="3" t="inlineStr">
        <is>
          <t>+7.2%</t>
        </is>
      </c>
      <c r="P10" s="3" t="inlineStr">
        <is>
          <t>48.0%</t>
        </is>
      </c>
      <c r="Q10" s="3" t="inlineStr">
        <is>
          <t>최근 특이 뉴스 없음</t>
        </is>
      </c>
      <c r="R10" s="3" t="inlineStr">
        <is>
          <t>[365500.0, 367000.0, 365000.0, 364000.0, 352000.0, 350500.0, 351500.0, 364000.0, 352500.0, 357000.0, 360500.0, 371000.0, 390000.0, 391000.0, 401000.0, 398000.0, 410000.0, 422000.0, 402500.0, 404000.0]</t>
        </is>
      </c>
    </row>
    <row r="11">
      <c r="A11" s="2" t="inlineStr">
        <is>
          <t>POSCO홀딩스</t>
        </is>
      </c>
      <c r="B11" s="2" t="inlineStr">
        <is>
          <t>005490.KS</t>
        </is>
      </c>
      <c r="C11" s="2" t="inlineStr">
        <is>
          <t>철강/이차전지소재</t>
        </is>
      </c>
      <c r="D11" s="3" t="inlineStr">
        <is>
          <t>299,000원</t>
        </is>
      </c>
      <c r="E11" s="3" t="inlineStr">
        <is>
          <t>-71,000원 (-19.19%)</t>
        </is>
      </c>
      <c r="F11" s="3" t="inlineStr">
        <is>
          <t>293,000원</t>
        </is>
      </c>
      <c r="G11" s="3" t="inlineStr">
        <is>
          <t>332,000원</t>
        </is>
      </c>
      <c r="H11" s="3" t="inlineStr">
        <is>
          <t>284,000원</t>
        </is>
      </c>
      <c r="I11" s="3" t="inlineStr">
        <is>
          <t>+13.3%</t>
        </is>
      </c>
      <c r="J11" s="3" t="inlineStr">
        <is>
          <t>관망 (HOLD)</t>
        </is>
      </c>
      <c r="K11" s="3" t="inlineStr">
        <is>
          <t>중립 구간 유지 중</t>
        </is>
      </c>
      <c r="L11" s="3" t="inlineStr">
        <is>
          <t>보유 / 중립 (HOLD)</t>
        </is>
      </c>
      <c r="M11" s="3" t="inlineStr">
        <is>
          <t>장기 추세 유지</t>
        </is>
      </c>
      <c r="N11" s="3" t="n">
        <v>41.6</v>
      </c>
      <c r="O11" s="3" t="inlineStr">
        <is>
          <t>-4.0%</t>
        </is>
      </c>
      <c r="P11" s="3" t="inlineStr">
        <is>
          <t>9.0%</t>
        </is>
      </c>
      <c r="Q11" s="3" t="inlineStr">
        <is>
          <t>최근 특이 뉴스 없음</t>
        </is>
      </c>
      <c r="R11" s="3" t="inlineStr">
        <is>
          <t>[332000.0, 326500.0, 326500.0, 323000.0, 317000.0, 317500.0, 311500.0, 316500.0, 304000.0, 306000.0, 306500.0, 311000.0, 318000.0, 307500.0, 306500.0, 299000.0, 299000.0, 309000.0, 292000.0, 299000.0]</t>
        </is>
      </c>
    </row>
    <row r="12">
      <c r="A12" s="2" t="inlineStr">
        <is>
          <t>엔비디아 (NVIDIA)</t>
        </is>
      </c>
      <c r="B12" s="2" t="inlineStr">
        <is>
          <t>NVDA</t>
        </is>
      </c>
      <c r="C12" s="2" t="inlineStr">
        <is>
          <t>글로벌 AI/반도체</t>
        </is>
      </c>
      <c r="D12" s="3" t="inlineStr">
        <is>
          <t>$217.23 (약 292,713원)</t>
        </is>
      </c>
      <c r="E12" s="3" t="inlineStr">
        <is>
          <t>+18.36$ (+9.23%)</t>
        </is>
      </c>
      <c r="F12" s="3" t="inlineStr">
        <is>
          <t>$213.97 (약 288,322원)</t>
        </is>
      </c>
      <c r="G12" s="3" t="inlineStr">
        <is>
          <t>$249.81 (약 336,620원)</t>
        </is>
      </c>
      <c r="H12" s="3" t="inlineStr">
        <is>
          <t>$206.71</t>
        </is>
      </c>
      <c r="I12" s="3" t="inlineStr">
        <is>
          <t>+16.8%</t>
        </is>
      </c>
      <c r="J12" s="3" t="inlineStr">
        <is>
          <t>관망 (HOLD)</t>
        </is>
      </c>
      <c r="K12" s="3" t="inlineStr">
        <is>
          <t>중립 구간 유지 중</t>
        </is>
      </c>
      <c r="L12" s="3" t="inlineStr">
        <is>
          <t>⭐ 장기 적립/매수 (유망 섹터)</t>
        </is>
      </c>
      <c r="M12" s="3" t="inlineStr">
        <is>
          <t>성장 주도 산업 + 52주 고점 대비 건전한 눌림목(67.0%), 장기 분할 매수 적기</t>
        </is>
      </c>
      <c r="N12" s="3" t="n">
        <v>40.2</v>
      </c>
      <c r="O12" s="3" t="inlineStr">
        <is>
          <t>-5.0%</t>
        </is>
      </c>
      <c r="P12" s="3" t="inlineStr">
        <is>
          <t>67.0%</t>
        </is>
      </c>
      <c r="Q12" s="3" t="inlineStr">
        <is>
          <t>최근 특이 뉴스 없음</t>
        </is>
      </c>
      <c r="R12" s="3" t="inlineStr">
        <is>
          <t>[222.27, 227.38, 228.87, 225.51, 224.58, 225.07, 228.86, 227.21, 228.38, 230.86, 233.95, 238.9, 239.24, 237.47, 230.48, 229.28, 226.32, 228.52, 221.3, 217.23]</t>
        </is>
      </c>
    </row>
    <row r="13">
      <c r="A13" s="2" t="inlineStr">
        <is>
          <t>애플 (Apple)</t>
        </is>
      </c>
      <c r="B13" s="2" t="inlineStr">
        <is>
          <t>AAPL</t>
        </is>
      </c>
      <c r="C13" s="2" t="inlineStr">
        <is>
          <t>글로벌 빅테크</t>
        </is>
      </c>
      <c r="D13" s="3" t="inlineStr">
        <is>
          <t>$342.00 (약 460,838원)</t>
        </is>
      </c>
      <c r="E13" s="3" t="inlineStr">
        <is>
          <t>+75.57$ (+28.36%)</t>
        </is>
      </c>
      <c r="F13" s="3" t="inlineStr">
        <is>
          <t>$335.16 (약 451,621원)</t>
        </is>
      </c>
      <c r="G13" s="3" t="inlineStr">
        <is>
          <t>$359.10 (약 483,880원)</t>
        </is>
      </c>
      <c r="H13" s="3" t="inlineStr">
        <is>
          <t>$324.90</t>
        </is>
      </c>
      <c r="I13" s="3" t="inlineStr">
        <is>
          <t>+7.1%</t>
        </is>
      </c>
      <c r="J13" s="3" t="inlineStr">
        <is>
          <t>관망 (HOLD)</t>
        </is>
      </c>
      <c r="K13" s="3" t="inlineStr">
        <is>
          <t>중립 구간 유지 중</t>
        </is>
      </c>
      <c r="L13" s="3" t="inlineStr">
        <is>
          <t>보유 / 중립 (HOLD)</t>
        </is>
      </c>
      <c r="M13" s="3" t="inlineStr">
        <is>
          <t>장기 추세 유지</t>
        </is>
      </c>
      <c r="N13" s="3" t="n">
        <v>60.6</v>
      </c>
      <c r="O13" s="3" t="inlineStr">
        <is>
          <t>+1.5%</t>
        </is>
      </c>
      <c r="P13" s="3" t="inlineStr">
        <is>
          <t>94.1%</t>
        </is>
      </c>
      <c r="Q13" s="3" t="inlineStr">
        <is>
          <t>최근 특이 뉴스 없음</t>
        </is>
      </c>
      <c r="R13" s="3" t="inlineStr">
        <is>
          <t>[336.13, 338.98, 339.75, 337.02, 335.92, 341.07, 338.4, 329.4, 333.02, 330.32, 333.69, 332.89, 333.63, 336.67, 340.42, 336.64, 340.97, 341.27, 342.96, 342.0]</t>
        </is>
      </c>
    </row>
    <row r="14">
      <c r="A14" s="2" t="inlineStr">
        <is>
          <t>테슬라 (Tesla)</t>
        </is>
      </c>
      <c r="B14" s="2" t="inlineStr">
        <is>
          <t>TSLA</t>
        </is>
      </c>
      <c r="C14" s="2" t="inlineStr">
        <is>
          <t>전기차/자율주행</t>
        </is>
      </c>
      <c r="D14" s="3" t="inlineStr">
        <is>
          <t>$362.44 (약 488,380원)</t>
        </is>
      </c>
      <c r="E14" s="3" t="inlineStr">
        <is>
          <t>-29.51$ (-7.53%)</t>
        </is>
      </c>
      <c r="F14" s="3" t="inlineStr">
        <is>
          <t>$355.19 (약 478,613원)</t>
        </is>
      </c>
      <c r="G14" s="3" t="inlineStr">
        <is>
          <t>$382.70 (약 515,680원)</t>
        </is>
      </c>
      <c r="H14" s="3" t="inlineStr">
        <is>
          <t>$344.32</t>
        </is>
      </c>
      <c r="I14" s="3" t="inlineStr">
        <is>
          <t>+7.7%</t>
        </is>
      </c>
      <c r="J14" s="3" t="inlineStr">
        <is>
          <t>관망 (HOLD)</t>
        </is>
      </c>
      <c r="K14" s="3" t="inlineStr">
        <is>
          <t>중립 구간 유지 중</t>
        </is>
      </c>
      <c r="L14" s="3" t="inlineStr">
        <is>
          <t>보유 / 중립 (HOLD)</t>
        </is>
      </c>
      <c r="M14" s="3" t="inlineStr">
        <is>
          <t>장기 추세 유지</t>
        </is>
      </c>
      <c r="N14" s="3" t="n">
        <v>46.5</v>
      </c>
      <c r="O14" s="3" t="inlineStr">
        <is>
          <t>-2.3%</t>
        </is>
      </c>
      <c r="P14" s="3" t="inlineStr">
        <is>
          <t>32.3%</t>
        </is>
      </c>
      <c r="Q14" s="3" t="inlineStr">
        <is>
          <t>테슬라 FSD, 獨 지지에 유럽서 승인 급물살… “韓은 2028년 이후에나” - 조선비즈 (Chosunbiz)</t>
        </is>
      </c>
      <c r="R14" s="3" t="inlineStr">
        <is>
          <t>[364.27, 375.3, 378.9, 380.12, 377.94, 372.11, 357.45, 352.84, 354.81, 354.11, 370.59, 378.73, 380.68, 377.81, 375.0, 382.7, 378.03, 375.23, 367.16, 362.44]</t>
        </is>
      </c>
    </row>
    <row r="15">
      <c r="A15" s="2" t="inlineStr">
        <is>
          <t>마이크로소프트 (Microsoft)</t>
        </is>
      </c>
      <c r="B15" s="2" t="inlineStr">
        <is>
          <t>MSFT</t>
        </is>
      </c>
      <c r="C15" s="2" t="inlineStr">
        <is>
          <t>글로벌 AI/클라우드</t>
        </is>
      </c>
      <c r="D15" s="3" t="inlineStr">
        <is>
          <t>$539.44 (약 726,884원)</t>
        </is>
      </c>
      <c r="E15" s="3" t="inlineStr">
        <is>
          <t>+128.22$ (+31.18%)</t>
        </is>
      </c>
      <c r="F15" s="3" t="inlineStr">
        <is>
          <t>$518.50 (약 698,668원)</t>
        </is>
      </c>
      <c r="G15" s="3" t="inlineStr">
        <is>
          <t>$566.41 (약 763,228원)</t>
        </is>
      </c>
      <c r="H15" s="3" t="inlineStr">
        <is>
          <t>$512.47</t>
        </is>
      </c>
      <c r="I15" s="3" t="inlineStr">
        <is>
          <t>+9.2%</t>
        </is>
      </c>
      <c r="J15" s="3" t="inlineStr">
        <is>
          <t>관망 (HOLD)</t>
        </is>
      </c>
      <c r="K15" s="3" t="inlineStr">
        <is>
          <t>중립 구간 유지 중</t>
        </is>
      </c>
      <c r="L15" s="3" t="inlineStr">
        <is>
          <t>보유 / 중립 (HOLD)</t>
        </is>
      </c>
      <c r="M15" s="3" t="inlineStr">
        <is>
          <t>장기 추세 유지</t>
        </is>
      </c>
      <c r="N15" s="3" t="n">
        <v>65</v>
      </c>
      <c r="O15" s="3" t="inlineStr">
        <is>
          <t>+4.0%</t>
        </is>
      </c>
      <c r="P15" s="3" t="inlineStr">
        <is>
          <t>93.0%</t>
        </is>
      </c>
      <c r="Q15" s="3" t="inlineStr">
        <is>
          <t>MS 사장, '고숙련 이민자 영주권 차단' 美정책 비판 (주요언론)</t>
        </is>
      </c>
      <c r="R15" s="3" t="inlineStr">
        <is>
          <t>[493.78, 501.61, 498.0, 500.59, 497.93, 516.17, 509.22, 508.96, 512.9, 512.8, 517.53, 525.18, 529.3, 529.76, 522.61, 535.07, 541.15, 543.45, 533.69, 539.44]</t>
        </is>
      </c>
    </row>
    <row r="16">
      <c r="A16" s="2" t="inlineStr">
        <is>
          <t>두산에너빌리티</t>
        </is>
      </c>
      <c r="B16" s="2" t="inlineStr">
        <is>
          <t>034020.KS</t>
        </is>
      </c>
      <c r="C16" s="2" t="inlineStr">
        <is>
          <t>증권사 공식리서치</t>
        </is>
      </c>
      <c r="D16" s="3" t="inlineStr">
        <is>
          <t>65,000원</t>
        </is>
      </c>
      <c r="E16" s="3" t="inlineStr">
        <is>
          <t>-45,800원 (-41.34%)</t>
        </is>
      </c>
      <c r="F16" s="3" t="inlineStr">
        <is>
          <t>63,700원</t>
        </is>
      </c>
      <c r="G16" s="3" t="inlineStr">
        <is>
          <t>86,500원</t>
        </is>
      </c>
      <c r="H16" s="3" t="inlineStr">
        <is>
          <t>61,800원</t>
        </is>
      </c>
      <c r="I16" s="3" t="inlineStr">
        <is>
          <t>+35.8%</t>
        </is>
      </c>
      <c r="J16" s="3" t="inlineStr">
        <is>
          <t>관망 (HOLD)</t>
        </is>
      </c>
      <c r="K16" s="3" t="inlineStr">
        <is>
          <t>중립 구간 유지 중</t>
        </is>
      </c>
      <c r="L16" s="3" t="inlineStr">
        <is>
          <t>⚠️ 장기 비중 축소 / 손절 검토</t>
        </is>
      </c>
      <c r="M16" s="3" t="inlineStr">
        <is>
          <t>60일선 하향 이탈 및 52주 신저가 부근, 중장기 추세 하향 전환 우려</t>
        </is>
      </c>
      <c r="N16" s="3" t="n">
        <v>28.7</v>
      </c>
      <c r="O16" s="3" t="inlineStr">
        <is>
          <t>-17.7%</t>
        </is>
      </c>
      <c r="P16" s="3" t="inlineStr">
        <is>
          <t>9.7%</t>
        </is>
      </c>
      <c r="Q16" s="3" t="inlineStr">
        <is>
          <t>최근 특이 뉴스 없음</t>
        </is>
      </c>
      <c r="R16" s="3" t="inlineStr">
        <is>
          <t>[86200.0, 83800.0, 85400.0, 84900.0, 85300.0, 86500.0, 81700.0, 82000.0, 79700.0, 81600.0, 82100.0, 81100.0, 81500.0, 80500.0, 78000.0, 71500.0, 70200.0, 69400.0, 63300.0, 65000.0]</t>
        </is>
      </c>
    </row>
    <row r="17">
      <c r="A17" s="2" t="inlineStr">
        <is>
          <t>하이브</t>
        </is>
      </c>
      <c r="B17" s="2" t="inlineStr">
        <is>
          <t>352820.KS</t>
        </is>
      </c>
      <c r="C17" s="2" t="inlineStr">
        <is>
          <t>증권사 공식리서치</t>
        </is>
      </c>
      <c r="D17" s="3" t="inlineStr">
        <is>
          <t>181,000원</t>
        </is>
      </c>
      <c r="E17" s="3" t="inlineStr">
        <is>
          <t>-87,200원 (-32.54%)</t>
        </is>
      </c>
      <c r="F17" s="3" t="inlineStr">
        <is>
          <t>163,000원</t>
        </is>
      </c>
      <c r="G17" s="3" t="inlineStr">
        <is>
          <t>181,000원</t>
        </is>
      </c>
      <c r="H17" s="3" t="inlineStr">
        <is>
          <t>177,000원</t>
        </is>
      </c>
      <c r="I17" s="3" t="inlineStr">
        <is>
          <t>+11.0%</t>
        </is>
      </c>
      <c r="J17" s="3" t="inlineStr">
        <is>
          <t>🔴 오늘 단기 매도 (과열 차익실현)</t>
        </is>
      </c>
      <c r="K17" s="3" t="inlineStr">
        <is>
          <t>RSI 62.4, 20일선 이격도 +11.1%로 단기 과열권 진입. 욕심을 줄이고 분할 차익 실현 권고</t>
        </is>
      </c>
      <c r="L17" s="3" t="inlineStr">
        <is>
          <t>보유 / 중립 (HOLD)</t>
        </is>
      </c>
      <c r="M17" s="3" t="inlineStr">
        <is>
          <t>장기 추세 유지</t>
        </is>
      </c>
      <c r="N17" s="3" t="n">
        <v>62.4</v>
      </c>
      <c r="O17" s="3" t="inlineStr">
        <is>
          <t>+11.1%</t>
        </is>
      </c>
      <c r="P17" s="3" t="inlineStr">
        <is>
          <t>11.0%</t>
        </is>
      </c>
      <c r="Q17" s="3" t="inlineStr">
        <is>
          <t>최근 특이 뉴스 없음</t>
        </is>
      </c>
      <c r="R17" s="3" t="inlineStr">
        <is>
          <t>[173100.0, 169900.0, 165600.0, 165900.0, 162500.0, 156300.0, 156800.0, 161900.0, 158700.0, 156600.0, 156200.0, 155300.0, 157000.0, 167000.0, 163900.0, 156500.0, 163400.0, 163800.0, 165100.0, 180800.0]</t>
        </is>
      </c>
    </row>
    <row r="18">
      <c r="A18" s="2" t="inlineStr">
        <is>
          <t>오리온</t>
        </is>
      </c>
      <c r="B18" s="2" t="inlineStr">
        <is>
          <t>271560.KS</t>
        </is>
      </c>
      <c r="C18" s="2" t="inlineStr">
        <is>
          <t>증권사 공식리서치</t>
        </is>
      </c>
      <c r="D18" s="3" t="inlineStr">
        <is>
          <t>110,000원</t>
        </is>
      </c>
      <c r="E18" s="3" t="inlineStr">
        <is>
          <t>-27,500원 (-19.97%)</t>
        </is>
      </c>
      <c r="F18" s="3" t="inlineStr">
        <is>
          <t>108,000원</t>
        </is>
      </c>
      <c r="G18" s="3" t="inlineStr">
        <is>
          <t>116,000원</t>
        </is>
      </c>
      <c r="H18" s="3" t="inlineStr">
        <is>
          <t>104,500원</t>
        </is>
      </c>
      <c r="I18" s="3" t="inlineStr">
        <is>
          <t>+7.4%</t>
        </is>
      </c>
      <c r="J18" s="3" t="inlineStr">
        <is>
          <t>관망 (HOLD)</t>
        </is>
      </c>
      <c r="K18" s="3" t="inlineStr">
        <is>
          <t>중립 구간 유지 중</t>
        </is>
      </c>
      <c r="L18" s="3" t="inlineStr">
        <is>
          <t>보유 / 중립 (HOLD)</t>
        </is>
      </c>
      <c r="M18" s="3" t="inlineStr">
        <is>
          <t>장기 추세 유지</t>
        </is>
      </c>
      <c r="N18" s="3" t="n">
        <v>45.5</v>
      </c>
      <c r="O18" s="3" t="inlineStr">
        <is>
          <t>+1.2%</t>
        </is>
      </c>
      <c r="P18" s="3" t="inlineStr">
        <is>
          <t>21.9%</t>
        </is>
      </c>
      <c r="Q18" s="3" t="inlineStr">
        <is>
          <t>최근 특이 뉴스 없음</t>
        </is>
      </c>
      <c r="R18" s="3" t="inlineStr">
        <is>
          <t>[116000.0, 111400.0, 113500.0, 111500.0, 111200.0, 110900.0, 110100.0, 111500.0, 111500.0, 106900.0, 106100.0, 105300.0, 106500.0, 106100.0, 104200.0, 105600.0, 106500.0, 105600.0, 107400.0, 110200.0]</t>
        </is>
      </c>
    </row>
    <row r="19">
      <c r="A19" s="2" t="inlineStr">
        <is>
          <t>효성중공업</t>
        </is>
      </c>
      <c r="B19" s="2" t="inlineStr">
        <is>
          <t>298040.KS</t>
        </is>
      </c>
      <c r="C19" s="2" t="inlineStr">
        <is>
          <t>증권사 공식리서치</t>
        </is>
      </c>
      <c r="D19" s="3" t="inlineStr">
        <is>
          <t>1,920,000원</t>
        </is>
      </c>
      <c r="E19" s="3" t="inlineStr">
        <is>
          <t>-1,070,000원 (-35.79%)</t>
        </is>
      </c>
      <c r="F19" s="3" t="inlineStr">
        <is>
          <t>1,730,000원</t>
        </is>
      </c>
      <c r="G19" s="3" t="inlineStr">
        <is>
          <t>1,901,000원</t>
        </is>
      </c>
      <c r="H19" s="3" t="inlineStr">
        <is>
          <t>1,862,500원</t>
        </is>
      </c>
      <c r="I19" s="3" t="inlineStr">
        <is>
          <t>+9.9%</t>
        </is>
      </c>
      <c r="J19" s="3" t="inlineStr">
        <is>
          <t>🔴 단기 비중 축소 (추세 이탈 경고)</t>
        </is>
      </c>
      <c r="K19" s="3" t="inlineStr">
        <is>
          <t>주가가 20일선(2,605,400원)을 하향 이탈하고 이동평균선 역배열 지속. 리스크 관리 차원 비중 축소 권고</t>
        </is>
      </c>
      <c r="L19" s="3" t="inlineStr">
        <is>
          <t>⚠️ 장기 비중 축소 / 손절 검토</t>
        </is>
      </c>
      <c r="M19" s="3" t="inlineStr">
        <is>
          <t>60일선 하향 이탈 및 52주 신저가 부근, 중장기 추세 하향 전환 우려</t>
        </is>
      </c>
      <c r="N19" s="3" t="n">
        <v>26</v>
      </c>
      <c r="O19" s="3" t="inlineStr">
        <is>
          <t>-26.3%</t>
        </is>
      </c>
      <c r="P19" s="3" t="inlineStr">
        <is>
          <t>11.0%</t>
        </is>
      </c>
      <c r="Q19" s="3" t="inlineStr">
        <is>
          <t>최근 특이 뉴스 없음</t>
        </is>
      </c>
      <c r="R19" s="3" t="inlineStr">
        <is>
          <t>[2689000.0, 2806000.0, 2861000.0, 2915000.0, 2917000.0, 2901000.0, 2896000.0, 2780000.0, 2804000.0, 2773000.0, 2822000.0, 2785000.0, 2807000.0, 2588000.0, 2494000.0, 2242000.0, 2152000.0, 2135000.0, 1821000.0, 1920000.0]</t>
        </is>
      </c>
    </row>
    <row r="20">
      <c r="A20" s="2" t="inlineStr">
        <is>
          <t>삼양식품</t>
        </is>
      </c>
      <c r="B20" s="2" t="inlineStr">
        <is>
          <t>003230.KS</t>
        </is>
      </c>
      <c r="C20" s="2" t="inlineStr">
        <is>
          <t>증권사 공식리서치</t>
        </is>
      </c>
      <c r="D20" s="3" t="inlineStr">
        <is>
          <t>1,223,000원</t>
        </is>
      </c>
      <c r="E20" s="3" t="inlineStr">
        <is>
          <t>-146,000원 (-10.66%)</t>
        </is>
      </c>
      <c r="F20" s="3" t="inlineStr">
        <is>
          <t>1,198,500원</t>
        </is>
      </c>
      <c r="G20" s="3" t="inlineStr">
        <is>
          <t>1,300,000원</t>
        </is>
      </c>
      <c r="H20" s="3" t="inlineStr">
        <is>
          <t>1,162,000원</t>
        </is>
      </c>
      <c r="I20" s="3" t="inlineStr">
        <is>
          <t>+8.5%</t>
        </is>
      </c>
      <c r="J20" s="3" t="inlineStr">
        <is>
          <t>관망 (HOLD)</t>
        </is>
      </c>
      <c r="K20" s="3" t="inlineStr">
        <is>
          <t>중립 구간 유지 중</t>
        </is>
      </c>
      <c r="L20" s="3" t="inlineStr">
        <is>
          <t>보유 / 중립 (HOLD)</t>
        </is>
      </c>
      <c r="M20" s="3" t="inlineStr">
        <is>
          <t>장기 추세 유지</t>
        </is>
      </c>
      <c r="N20" s="3" t="n">
        <v>48.1</v>
      </c>
      <c r="O20" s="3" t="inlineStr">
        <is>
          <t>+0.1%</t>
        </is>
      </c>
      <c r="P20" s="3" t="inlineStr">
        <is>
          <t>42.0%</t>
        </is>
      </c>
      <c r="Q20" s="3" t="inlineStr">
        <is>
          <t>최근 특이 뉴스 없음</t>
        </is>
      </c>
      <c r="R20" s="3" t="inlineStr">
        <is>
          <t>[1277000.0, 1261000.0, 1288000.0, 1300000.0, 1276000.0, 1252000.0, 1215000.0, 1215000.0, 1225000.0, 1213000.0, 1224000.0, 1211000.0, 1210000.0, 1217000.0, 1172000.0, 1197000.0, 1172000.0, 1143000.0, 1151000.0, 1223000.0]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4" customWidth="1" min="1" max="1"/>
    <col width="12" customWidth="1" min="2" max="2"/>
    <col width="16" customWidth="1" min="3" max="3"/>
    <col width="13" customWidth="1" min="4" max="4"/>
    <col width="16" customWidth="1" min="5" max="5"/>
    <col width="16" customWidth="1" min="6" max="6"/>
    <col width="16" customWidth="1" min="7" max="7"/>
    <col width="14" customWidth="1" min="8" max="8"/>
    <col width="34" customWidth="1" min="9" max="9"/>
    <col width="53" customWidth="1" min="10" max="10"/>
    <col width="12" customWidth="1" min="11" max="11"/>
    <col width="15" customWidth="1" min="12" max="12"/>
    <col width="17" customWidth="1" min="13" max="13"/>
  </cols>
  <sheetData>
    <row r="1">
      <c r="A1" s="1" t="inlineStr">
        <is>
          <t>코인명</t>
        </is>
      </c>
      <c r="B1" s="1" t="inlineStr">
        <is>
          <t>심볼</t>
        </is>
      </c>
      <c r="C1" s="1" t="inlineStr">
        <is>
          <t>현재가</t>
        </is>
      </c>
      <c r="D1" s="1" t="inlineStr">
        <is>
          <t>24시간등락</t>
        </is>
      </c>
      <c r="E1" s="1" t="inlineStr">
        <is>
          <t>매수_추천금액</t>
        </is>
      </c>
      <c r="F1" s="1" t="inlineStr">
        <is>
          <t>목표_매도금액</t>
        </is>
      </c>
      <c r="G1" s="1" t="inlineStr">
        <is>
          <t>손절_기준가</t>
        </is>
      </c>
      <c r="H1" s="1" t="inlineStr">
        <is>
          <t>기대_수익률</t>
        </is>
      </c>
      <c r="I1" s="1" t="inlineStr">
        <is>
          <t>투자신호</t>
        </is>
      </c>
      <c r="J1" s="1" t="inlineStr">
        <is>
          <t>전망및근거</t>
        </is>
      </c>
      <c r="K1" s="1" t="inlineStr">
        <is>
          <t>RSI(14)</t>
        </is>
      </c>
      <c r="L1" s="1" t="inlineStr">
        <is>
          <t>20일선이격도</t>
        </is>
      </c>
      <c r="M1" s="1" t="inlineStr">
        <is>
          <t>24시간거래대금</t>
        </is>
      </c>
    </row>
    <row r="2">
      <c r="A2" s="2" t="inlineStr">
        <is>
          <t>🟠 비트코인</t>
        </is>
      </c>
      <c r="B2" s="2" t="inlineStr">
        <is>
          <t>BTC</t>
        </is>
      </c>
      <c r="C2" s="2" t="inlineStr">
        <is>
          <t>111,267,000원</t>
        </is>
      </c>
      <c r="D2" s="3" t="inlineStr">
        <is>
          <t>+0.35%</t>
        </is>
      </c>
      <c r="E2" s="3" t="inlineStr">
        <is>
          <t>109,598,000원</t>
        </is>
      </c>
      <c r="F2" s="3" t="inlineStr">
        <is>
          <t>119,243,000원</t>
        </is>
      </c>
      <c r="G2" s="3" t="inlineStr">
        <is>
          <t>105,704,000원</t>
        </is>
      </c>
      <c r="H2" s="3" t="inlineStr">
        <is>
          <t>+8.8%</t>
        </is>
      </c>
      <c r="I2" s="3" t="inlineStr">
        <is>
          <t>관망 / 분할 적립 (HOLD)</t>
        </is>
      </c>
      <c r="J2" s="3" t="inlineStr">
        <is>
          <t>중립 횡보 추세</t>
        </is>
      </c>
      <c r="K2" s="3" t="n">
        <v>52.1</v>
      </c>
      <c r="L2" s="3" t="inlineStr">
        <is>
          <t>-2.0%</t>
        </is>
      </c>
      <c r="M2" s="3" t="inlineStr">
        <is>
          <t>1,560억원</t>
        </is>
      </c>
    </row>
    <row r="3">
      <c r="A3" s="2" t="inlineStr">
        <is>
          <t>🔷 이더리움</t>
        </is>
      </c>
      <c r="B3" s="2" t="inlineStr">
        <is>
          <t>ETH</t>
        </is>
      </c>
      <c r="C3" s="2" t="inlineStr">
        <is>
          <t>3,297,000원</t>
        </is>
      </c>
      <c r="D3" s="3" t="inlineStr">
        <is>
          <t>+0.00%</t>
        </is>
      </c>
      <c r="E3" s="3" t="inlineStr">
        <is>
          <t>3,270,500원</t>
        </is>
      </c>
      <c r="F3" s="3" t="inlineStr">
        <is>
          <t>3,495,000원</t>
        </is>
      </c>
      <c r="G3" s="3" t="inlineStr">
        <is>
          <t>3,181,500원</t>
        </is>
      </c>
      <c r="H3" s="3" t="inlineStr">
        <is>
          <t>+6.9%</t>
        </is>
      </c>
      <c r="I3" s="3" t="inlineStr">
        <is>
          <t>🟢 단기 매수 유망 (과매도 반등)</t>
        </is>
      </c>
      <c r="J3" s="3" t="inlineStr">
        <is>
          <t>RSI 40.6로 단기 과매도 구간 진입, 기술적 반등 기대</t>
        </is>
      </c>
      <c r="K3" s="3" t="n">
        <v>40.6</v>
      </c>
      <c r="L3" s="3" t="inlineStr">
        <is>
          <t>-6.2%</t>
        </is>
      </c>
      <c r="M3" s="3" t="inlineStr">
        <is>
          <t>1,163억원</t>
        </is>
      </c>
    </row>
    <row r="4">
      <c r="A4" s="2" t="inlineStr">
        <is>
          <t>🟣 솔라나</t>
        </is>
      </c>
      <c r="B4" s="2" t="inlineStr">
        <is>
          <t>SOL</t>
        </is>
      </c>
      <c r="C4" s="2" t="inlineStr">
        <is>
          <t>142,500원</t>
        </is>
      </c>
      <c r="D4" s="3" t="inlineStr">
        <is>
          <t>+0.21%</t>
        </is>
      </c>
      <c r="E4" s="3" t="inlineStr">
        <is>
          <t>141,400원</t>
        </is>
      </c>
      <c r="F4" s="3" t="inlineStr">
        <is>
          <t>153,400원</t>
        </is>
      </c>
      <c r="G4" s="3" t="inlineStr">
        <is>
          <t>137,500원</t>
        </is>
      </c>
      <c r="H4" s="3" t="inlineStr">
        <is>
          <t>+8.5%</t>
        </is>
      </c>
      <c r="I4" s="3" t="inlineStr">
        <is>
          <t>🟢 단기 매수 유망 (과매도 반등)</t>
        </is>
      </c>
      <c r="J4" s="3" t="inlineStr">
        <is>
          <t>RSI 42.7로 단기 과매도 구간 진입, 기술적 반등 기대</t>
        </is>
      </c>
      <c r="K4" s="3" t="n">
        <v>42.7</v>
      </c>
      <c r="L4" s="3" t="inlineStr">
        <is>
          <t>-8.0%</t>
        </is>
      </c>
      <c r="M4" s="3" t="inlineStr">
        <is>
          <t>346억원</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13" customWidth="1" min="1" max="1"/>
    <col width="15" customWidth="1" min="2" max="2"/>
    <col width="17" customWidth="1" min="3" max="3"/>
    <col width="47" customWidth="1" min="4" max="4"/>
    <col width="16" customWidth="1" min="5" max="5"/>
    <col width="12" customWidth="1" min="6" max="6"/>
    <col width="17" customWidth="1" min="7" max="7"/>
    <col width="19" customWidth="1" min="8" max="8"/>
    <col width="17" customWidth="1" min="9" max="9"/>
    <col width="19" customWidth="1" min="10" max="10"/>
    <col width="50" customWidth="1" min="11" max="11"/>
    <col width="13" customWidth="1" min="12" max="12"/>
    <col width="65" customWidth="1" min="13" max="13"/>
    <col width="65" customWidth="1" min="14" max="14"/>
  </cols>
  <sheetData>
    <row r="1">
      <c r="A1" s="1" t="inlineStr">
        <is>
          <t>신뢰도점수</t>
        </is>
      </c>
      <c r="B1" s="1" t="inlineStr">
        <is>
          <t>증권사</t>
        </is>
      </c>
      <c r="C1" s="1" t="inlineStr">
        <is>
          <t>종목명</t>
        </is>
      </c>
      <c r="D1" s="1" t="inlineStr">
        <is>
          <t>리포트제목</t>
        </is>
      </c>
      <c r="E1" s="1" t="inlineStr">
        <is>
          <t>공인_목표주가</t>
        </is>
      </c>
      <c r="F1" s="1" t="inlineStr">
        <is>
          <t>투자의견</t>
        </is>
      </c>
      <c r="G1" s="1" t="inlineStr">
        <is>
          <t>2026F_예상매출</t>
        </is>
      </c>
      <c r="H1" s="1" t="inlineStr">
        <is>
          <t>2026F_예상영업익</t>
        </is>
      </c>
      <c r="I1" s="1" t="inlineStr">
        <is>
          <t>2027F_예상매출</t>
        </is>
      </c>
      <c r="J1" s="1" t="inlineStr">
        <is>
          <t>2027F_예상영업익</t>
        </is>
      </c>
      <c r="K1" s="1" t="inlineStr">
        <is>
          <t>실적요약_YoY</t>
        </is>
      </c>
      <c r="L1" s="1" t="inlineStr">
        <is>
          <t>시장조회수</t>
        </is>
      </c>
      <c r="M1" s="1" t="inlineStr">
        <is>
          <t>핵심요약</t>
        </is>
      </c>
      <c r="N1" s="1" t="inlineStr">
        <is>
          <t>PDF파일명</t>
        </is>
      </c>
    </row>
    <row r="2">
      <c r="A2" s="2" t="n">
        <v>90</v>
      </c>
      <c r="B2" s="2" t="inlineStr">
        <is>
          <t>삼성증권</t>
        </is>
      </c>
      <c r="C2" s="2" t="inlineStr">
        <is>
          <t>두산에너빌리티</t>
        </is>
      </c>
      <c r="D2" s="3" t="inlineStr">
        <is>
          <t>전력 수요 증가에 최적화된 사업 포트폴리오</t>
        </is>
      </c>
      <c r="E2" s="3" t="inlineStr">
        <is>
          <t>-</t>
        </is>
      </c>
      <c r="F2" s="3" t="inlineStr">
        <is>
          <t>Buy</t>
        </is>
      </c>
      <c r="G2" s="3" t="inlineStr">
        <is>
          <t>21,159십억원</t>
        </is>
      </c>
      <c r="H2" s="3" t="inlineStr">
        <is>
          <t>1,883십억원</t>
        </is>
      </c>
      <c r="I2" s="3" t="inlineStr">
        <is>
          <t>24,494십억원</t>
        </is>
      </c>
      <c r="J2" s="3" t="inlineStr">
        <is>
          <t>2,350십억원</t>
        </is>
      </c>
      <c r="K2" s="3" t="inlineStr">
        <is>
          <t>2026/2027 실적 성장세 및 기업가치 재평가 전망</t>
        </is>
      </c>
      <c r="L2" s="3" t="n">
        <v>5085</v>
      </c>
      <c r="M2" s="3" t="inlineStr">
        <is>
          <t>WHAT’S THE STORY? 원전 확대 정책의 최대 수혜주: 국내 유일의 원전 설비 통합 제작사로 원자로, 증기발생기 등 주기기에 해당하는 1차 계통부터, 증기터빈 및 발전기와 같은 2차 계통까지 원전 주요 설비 전반에 대한 제조 능력을 보유. 2020년대 들어 에너지 안보와 AI의 확산, 그리고 환경 규제 강화 등으로 전력 부족에 대한 우려가 가중되면서 무탄소 기저 발전원으로서 원전에 대한 관심이 고조.</t>
        </is>
      </c>
      <c r="N2" s="3" t="inlineStr">
        <is>
          <t>2026-10-16_삼성증권_두산에너빌리티_전력 수요 증가에 최적화된 사업 포트폴리오.pdf</t>
        </is>
      </c>
    </row>
    <row r="3">
      <c r="A3" s="2" t="n">
        <v>89</v>
      </c>
      <c r="B3" s="2" t="inlineStr">
        <is>
          <t>삼성증권</t>
        </is>
      </c>
      <c r="C3" s="2" t="inlineStr">
        <is>
          <t>LG에너지솔루션</t>
        </is>
      </c>
      <c r="D3" s="3" t="inlineStr">
        <is>
          <t>3Q26 잠정 실적 - ESS 판매 호조와 일회성 이익</t>
        </is>
      </c>
      <c r="E3" s="3" t="inlineStr">
        <is>
          <t>-</t>
        </is>
      </c>
      <c r="F3" s="3" t="inlineStr">
        <is>
          <t>Buy</t>
        </is>
      </c>
      <c r="G3" s="3" t="inlineStr">
        <is>
          <t>43,977십억원</t>
        </is>
      </c>
      <c r="H3" s="3" t="inlineStr">
        <is>
          <t>4,125십억원</t>
        </is>
      </c>
      <c r="I3" s="3" t="inlineStr">
        <is>
          <t>52,314십억원</t>
        </is>
      </c>
      <c r="J3" s="3" t="inlineStr">
        <is>
          <t>6,402십억원</t>
        </is>
      </c>
      <c r="K3" s="3" t="inlineStr">
        <is>
          <t>2026/2027 실적 성장세 및 기업가치 재평가 전망</t>
        </is>
      </c>
      <c r="L3" s="3" t="n">
        <v>3600</v>
      </c>
      <c r="M3" s="3" t="inlineStr">
        <is>
          <t>WHAT’S THE STORY? View, 2027년 영업이익 228% 성장 전망: 12MF EPS 및 BPS 상향을 감안하여 P/E 및 P/B 평균 밸류에이션상 목표주가를 9% 상향(46→50만원). 보상금 수령 효과를 제외하더라도 ESS 생산 병목 현상(모듈/팩 생산 차질)이 소멸되기 시작한 점과 보상금 제외하더라도 유럽 공장 가동률 상승에 힘입어 자동차 적자 축소도 지속되고 있는 점이 긍정적.</t>
        </is>
      </c>
      <c r="N3" s="3" t="inlineStr">
        <is>
          <t>2026-10-16_삼성증권_LG에너지솔루션_3Q26 잠정 실적 - ESS 판매 호조와 일회성 이익.pdf</t>
        </is>
      </c>
    </row>
    <row r="4">
      <c r="A4" s="2" t="n">
        <v>84</v>
      </c>
      <c r="B4" s="2" t="inlineStr">
        <is>
          <t>교보증권</t>
        </is>
      </c>
      <c r="C4" s="2" t="inlineStr">
        <is>
          <t>하이브</t>
        </is>
      </c>
      <c r="D4" s="3" t="inlineStr">
        <is>
          <t>3Q26 Preview: 실적도, 성장 동력도 풍부</t>
        </is>
      </c>
      <c r="E4" s="3" t="inlineStr">
        <is>
          <t>-</t>
        </is>
      </c>
      <c r="F4" s="3" t="inlineStr">
        <is>
          <t>Buy</t>
        </is>
      </c>
      <c r="G4" s="3" t="inlineStr">
        <is>
          <t>-</t>
        </is>
      </c>
      <c r="H4" s="3" t="inlineStr">
        <is>
          <t>-42.2십억원</t>
        </is>
      </c>
      <c r="I4" s="3" t="inlineStr">
        <is>
          <t>-</t>
        </is>
      </c>
      <c r="J4" s="3" t="inlineStr">
        <is>
          <t>4.0십억원</t>
        </is>
      </c>
      <c r="K4" s="3" t="inlineStr">
        <is>
          <t>3Q26 매출액 1조 4,630억원(YoY +101)</t>
        </is>
      </c>
      <c r="L4" s="3" t="n">
        <v>3681</v>
      </c>
      <c r="M4" s="3" t="inlineStr">
        <is>
          <t>3Q26 시장 기대치 부합 전망 하이브 3Q26 매출액 1조 4,630억원(YoY +101.2%), 영업이익 1,655억원(YoY 흑전, OPM 11.3%)으로 영업이익 기준 시장 기대치(FnGuide 기준 1,636억) 부합 전망 [음반/음원] 매출액 2,679억원(YoY +41.1%, QoQ -18.0%) 전망. 3분기 앨범 판매량은 총 915만장 수준(써클차트 기준)으로 추정되며, 엔하이픈(229만장), &amp;TEAM(139만장), 코르티스(181만장) 등이 기여. 전분기 아티스트 앨범 발매가 집중된 데 따른 기저 부담으로 매출액은 QoQ 감소할 전망 [공연] 매출액 7,244억원(YoY +195.7%, QoQ +11.8%) 전망.</t>
        </is>
      </c>
      <c r="N4" s="3" t="inlineStr">
        <is>
          <t>2026-10-16_교보증권_하이브_3Q26 Preview 실적도, 성장 동력도 풍부.pdf</t>
        </is>
      </c>
    </row>
    <row r="5">
      <c r="A5" s="2" t="n">
        <v>82</v>
      </c>
      <c r="B5" s="2" t="inlineStr">
        <is>
          <t>하나증권</t>
        </is>
      </c>
      <c r="C5" s="2" t="inlineStr">
        <is>
          <t>오리온</t>
        </is>
      </c>
      <c r="D5" s="3" t="inlineStr">
        <is>
          <t>실적은 시장 기대 부합 했으나…</t>
        </is>
      </c>
      <c r="E5" s="3" t="inlineStr">
        <is>
          <t>-</t>
        </is>
      </c>
      <c r="F5" s="3" t="inlineStr">
        <is>
          <t>Buy</t>
        </is>
      </c>
      <c r="G5" s="3" t="inlineStr">
        <is>
          <t>3,719.3십억원</t>
        </is>
      </c>
      <c r="H5" s="3" t="inlineStr">
        <is>
          <t>629.0십억원</t>
        </is>
      </c>
      <c r="I5" s="3" t="inlineStr">
        <is>
          <t>3,830.7십억원</t>
        </is>
      </c>
      <c r="J5" s="3" t="inlineStr">
        <is>
          <t>677.1십억원</t>
        </is>
      </c>
      <c r="K5" s="3" t="inlineStr">
        <is>
          <t>연결 매출액 및 영업이익을 각각 9,751억원(YoY 5)</t>
        </is>
      </c>
      <c r="L5" s="3" t="n">
        <v>3154</v>
      </c>
      <c r="M5" s="3" t="inlineStr">
        <is>
          <t>7~9월 Re: 시장 기대 부합 7~9월 누계 매출액 및 영업이익은 각각 9,203억원(YoY 10.8%), 1,519억원(YoY 6.7%)을 기록했다. 시장 기대에 부합하는 수치이다. 3Q 국가별 매출 성장률은 각각 국내 YoY 4.9%/ 중국 YoY 13.8%/ 베트남 8.3%/ 러시아 21.9%를 시현했다.</t>
        </is>
      </c>
      <c r="N5" s="3" t="inlineStr">
        <is>
          <t>2026-10-16_하나증권_오리온_실적은 시장 기대 부합 했으나….pdf</t>
        </is>
      </c>
    </row>
    <row r="6">
      <c r="A6" s="2" t="n">
        <v>73</v>
      </c>
      <c r="B6" s="2" t="inlineStr">
        <is>
          <t>한국IR협의회</t>
        </is>
      </c>
      <c r="C6" s="2" t="inlineStr">
        <is>
          <t>알테오젠</t>
        </is>
      </c>
      <c r="D6" s="3" t="inlineStr">
        <is>
          <t>주사는 짧게, 성장은 길게</t>
        </is>
      </c>
      <c r="E6" s="3" t="inlineStr">
        <is>
          <t>-</t>
        </is>
      </c>
      <c r="F6" s="3" t="inlineStr">
        <is>
          <t>없음</t>
        </is>
      </c>
      <c r="G6" s="3" t="inlineStr">
        <is>
          <t>1,029십억원</t>
        </is>
      </c>
      <c r="H6" s="3" t="inlineStr">
        <is>
          <t>254십억원</t>
        </is>
      </c>
      <c r="I6" s="3" t="inlineStr">
        <is>
          <t>2,십억원</t>
        </is>
      </c>
      <c r="J6" s="3" t="inlineStr">
        <is>
          <t>1,069십억원</t>
        </is>
      </c>
      <c r="K6" s="3" t="inlineStr">
        <is>
          <t>2026년 매출액 4, 194억원(+94)</t>
        </is>
      </c>
      <c r="L6" s="3" t="n">
        <v>806</v>
      </c>
      <c r="M6" s="3" t="inlineStr">
        <is>
          <t>■ ‘Keytruda Qlex’의 상업화로 ALT-B4의 사업성이 입증된 가운데, 판매 확대에 따른 추가 sales milestone이 실적에 기여하며 제품 판매에 연동되는 수익구조가 본격화될 전망 ■ ‘Enhertu’ SC 개발을 통한 ADC 영역 진출과 Biogen 및 Novartis의 복수 제품 계약으로 ALT-B4의 적용 범위가 확대되고 있으며, 글로벌 블록버스터의 특허만료 대응과 후기 신약의 선제적 SC 개발이 추가 기술이전 기회를 창출할 것으로 기대 ■ 2026년 매출액 4,194억원(+94.3% YoY) 및 영업이익 2,474억원(+131.4% YoY)을 전망하며, 판매 마일스톤과 신규 계약&amp;옵션 행사 수익의 반영이 연구개발비 증가를 상쇄하고 이익 성장을 견인할 것으로 예상.</t>
        </is>
      </c>
      <c r="N6" s="3" t="inlineStr">
        <is>
          <t>2026-10-16_한국IR협의회_알테오젠_주사는 짧게, 성장은 길게.pdf</t>
        </is>
      </c>
    </row>
    <row r="7">
      <c r="A7" s="2" t="n">
        <v>73</v>
      </c>
      <c r="B7" s="2" t="inlineStr">
        <is>
          <t>유안타증권</t>
        </is>
      </c>
      <c r="C7" s="2" t="inlineStr">
        <is>
          <t>효성중공업</t>
        </is>
      </c>
      <c r="D7" s="3" t="inlineStr">
        <is>
          <t>3Q26 Preview Update: 눈높이는 낮추지만</t>
        </is>
      </c>
      <c r="E7" s="3" t="inlineStr">
        <is>
          <t>-</t>
        </is>
      </c>
      <c r="F7" s="3" t="inlineStr">
        <is>
          <t>Buy</t>
        </is>
      </c>
      <c r="G7" s="3" t="inlineStr">
        <is>
          <t>7,221십억원</t>
        </is>
      </c>
      <c r="H7" s="3" t="inlineStr">
        <is>
          <t>1,068십억원</t>
        </is>
      </c>
      <c r="I7" s="3" t="inlineStr">
        <is>
          <t>9,748십억원</t>
        </is>
      </c>
      <c r="J7" s="3" t="inlineStr">
        <is>
          <t>1,774십억원</t>
        </is>
      </c>
      <c r="K7" s="3" t="inlineStr">
        <is>
          <t>3Q26 매출액 1조 9,162억원(YoY +18)</t>
        </is>
      </c>
      <c r="L7" s="3" t="n">
        <v>2281</v>
      </c>
      <c r="M7" s="3" t="inlineStr">
        <is>
          <t>3Q26 Preview: 건설 비용 반영으로 추정치 하향 3Q26 매출액 1조 9,162억원(YoY +18.0%, QoQ +13.6%), 영업이익 2,631억원(YoY +19.7%, QoQ -0.5%), OPM 13.7%로 영업이익은 컨센서스를 하회할 전망이다. 지난 10월 7일 프리뷰에서 제시한 영업이익 3,126억원 대비 추정치를 하향한다. 주요 원인은 건설 부문의 예상치 못한 원가 반영이다.</t>
        </is>
      </c>
      <c r="N7" s="3" t="inlineStr">
        <is>
          <t>2026-10-16_유안타증권_효성중공업_3Q26 Preview Update 눈높이는 낮추지만.pdf</t>
        </is>
      </c>
    </row>
    <row r="8">
      <c r="A8" s="2" t="n">
        <v>72</v>
      </c>
      <c r="B8" s="2" t="inlineStr">
        <is>
          <t>iM증권</t>
        </is>
      </c>
      <c r="C8" s="2" t="inlineStr">
        <is>
          <t>하이브</t>
        </is>
      </c>
      <c r="D8" s="3" t="inlineStr">
        <is>
          <t>BTS 이후를 증명할 저연차의 성장</t>
        </is>
      </c>
      <c r="E8" s="3" t="inlineStr">
        <is>
          <t>-</t>
        </is>
      </c>
      <c r="F8" s="3" t="inlineStr">
        <is>
          <t>Buy</t>
        </is>
      </c>
      <c r="G8" s="3" t="inlineStr">
        <is>
          <t>4,238십억원</t>
        </is>
      </c>
      <c r="H8" s="3" t="inlineStr">
        <is>
          <t>457십억원</t>
        </is>
      </c>
      <c r="I8" s="3" t="inlineStr">
        <is>
          <t>4,693십억원</t>
        </is>
      </c>
      <c r="J8" s="3" t="inlineStr">
        <is>
          <t>565십억원</t>
        </is>
      </c>
      <c r="K8" s="3" t="inlineStr">
        <is>
          <t>2026/2027 실적 성장세 및 기업가치 재평가 전망</t>
        </is>
      </c>
      <c r="L8" s="3" t="n">
        <v>617</v>
      </c>
      <c r="M8" s="3" t="inlineStr">
        <is>
          <t>4분기는 서구권 공연 비중 축소로 외형이 전분기 대비 감소하겠으나, 두 자릿수 영업이익률은 유지할 전망이다. 특히 하반기 KATSEYE의 북미·유럽 투어(31회)가 반영되는 만큼, 저연차 아티스트의 공연 수익성이 확인될 경우 실적 추정치 상향이 가능할 것이다. 현재 주가는 2027년 Fwd P/E 17배 수준으로, BTS 투어 종료 이후 성장 공백에 대한 우려가 과도하게 반영된 것으로 판단한다.</t>
        </is>
      </c>
      <c r="N8" s="3" t="inlineStr">
        <is>
          <t>2026-10-16_iM증권_하이브_BTS 이후를 증명할 저연차의 성장.pdf</t>
        </is>
      </c>
    </row>
    <row r="9">
      <c r="A9" s="2" t="n">
        <v>72</v>
      </c>
      <c r="B9" s="2" t="inlineStr">
        <is>
          <t>신한투자증권</t>
        </is>
      </c>
      <c r="C9" s="2" t="inlineStr">
        <is>
          <t>삼양식품</t>
        </is>
      </c>
      <c r="D9" s="3" t="inlineStr">
        <is>
          <t>누가 환율 소리를 내었는가</t>
        </is>
      </c>
      <c r="E9" s="3" t="inlineStr">
        <is>
          <t>-</t>
        </is>
      </c>
      <c r="F9" s="3" t="inlineStr">
        <is>
          <t>매수</t>
        </is>
      </c>
      <c r="G9" s="3" t="inlineStr">
        <is>
          <t>3,136.7십억원</t>
        </is>
      </c>
      <c r="H9" s="3" t="inlineStr">
        <is>
          <t>733.4십억원</t>
        </is>
      </c>
      <c r="I9" s="3" t="inlineStr">
        <is>
          <t>3,774.0십억원</t>
        </is>
      </c>
      <c r="J9" s="3" t="inlineStr">
        <is>
          <t>918.0십억원</t>
        </is>
      </c>
      <c r="K9" s="3" t="inlineStr">
        <is>
          <t>3Q26 매출과 영업이익은 8,180억원(+29)</t>
        </is>
      </c>
      <c r="L9" s="3" t="n">
        <v>559</v>
      </c>
      <c r="M9" s="3" t="inlineStr">
        <is>
          <t>양적 한계가 명확해진 국내 음식료 시장에서 모범 업종 내 최선호주 의견 유지. 원화 강세에 따른 성장 둔화 우려는 높은 매출총이익률(26F 45.9%), 낮은 가격 민감도, 높은 브랜드 파워를 통해 최소화. 밀양 2공장(Capa +39%) 가동률 빠르게 상승, 올해말 중국 공장(Capa +43%) 완공 후 외형 성장 가속화 기대.</t>
        </is>
      </c>
      <c r="N9" s="3" t="inlineStr">
        <is>
          <t>2026-10-16_신한투자증권_삼양식품_누가 환율 소리를 내었는가.pdf</t>
        </is>
      </c>
    </row>
    <row r="10">
      <c r="A10" s="2" t="n">
        <v>66</v>
      </c>
      <c r="B10" s="2" t="inlineStr">
        <is>
          <t>iM증권</t>
        </is>
      </c>
      <c r="C10" s="2" t="inlineStr">
        <is>
          <t>JYP Ent.</t>
        </is>
      </c>
      <c r="D10" s="3" t="inlineStr">
        <is>
          <t>내년에 쏠린 무게중심과 저연차 성장 과제</t>
        </is>
      </c>
      <c r="E10" s="3" t="inlineStr">
        <is>
          <t>-</t>
        </is>
      </c>
      <c r="F10" s="3" t="inlineStr">
        <is>
          <t>Buy</t>
        </is>
      </c>
      <c r="G10" s="3" t="inlineStr">
        <is>
          <t>797십억원</t>
        </is>
      </c>
      <c r="H10" s="3" t="inlineStr">
        <is>
          <t>131십억원</t>
        </is>
      </c>
      <c r="I10" s="3" t="inlineStr">
        <is>
          <t>769십억원</t>
        </is>
      </c>
      <c r="J10" s="3" t="inlineStr">
        <is>
          <t>135십억원</t>
        </is>
      </c>
      <c r="K10" s="3" t="inlineStr">
        <is>
          <t>3Q26 Preview: 영업이익 378억원(-7% YoY)</t>
        </is>
      </c>
      <c r="L10" s="3" t="n">
        <v>338</v>
      </c>
      <c r="M10" s="3" t="inlineStr">
        <is>
          <t>내년에는 서구권 스타디움 투어가 예상되며, 초과 수익 정산분과 투어 도시별 팝업 MD 매출이 더해져 강력한 실적 레버리지 효과가 기대된다. 서구권 투어 일정이 연내 공개될 경우 단기 모멘텀으로 작용할 수 있다. 하반기 실적 추정치 하향을 반영해 목표주가를 50,000원(-17%)으로 하향하되, 2027년 Fwd P/E 10배 수준의 주가에서 하방은 제한적이라는 판단으로 Buy 의견은 유지한다.</t>
        </is>
      </c>
      <c r="N10" s="3" t="inlineStr">
        <is>
          <t>2026-10-16_iM증권_JYP Ent._내년에 쏠린 무게중심과 저연차 성장 과제.pdf</t>
        </is>
      </c>
    </row>
    <row r="11">
      <c r="A11" s="2" t="n">
        <v>65</v>
      </c>
      <c r="B11" s="2" t="inlineStr">
        <is>
          <t>하나증권</t>
        </is>
      </c>
      <c r="C11" s="2" t="inlineStr">
        <is>
          <t>두산에너빌리티</t>
        </is>
      </c>
      <c r="D11" s="3" t="inlineStr">
        <is>
          <t>연내 SMR 추가 수주 기대</t>
        </is>
      </c>
      <c r="E11" s="3" t="inlineStr">
        <is>
          <t>-</t>
        </is>
      </c>
      <c r="F11" s="3" t="inlineStr">
        <is>
          <t>Buy</t>
        </is>
      </c>
      <c r="G11" s="3" t="inlineStr">
        <is>
          <t>17,970.4십억원</t>
        </is>
      </c>
      <c r="H11" s="3" t="inlineStr">
        <is>
          <t>1,006.6십억원</t>
        </is>
      </c>
      <c r="I11" s="3" t="inlineStr">
        <is>
          <t>18,953.3십억원</t>
        </is>
      </c>
      <c r="J11" s="3" t="inlineStr">
        <is>
          <t>1,250.6십억원</t>
        </is>
      </c>
      <c r="K11" s="3" t="inlineStr">
        <is>
          <t>3Q26 영업이익 1,941억원(YoY +41)</t>
        </is>
      </c>
      <c r="L11" s="3" t="n">
        <v>158</v>
      </c>
      <c r="M11" s="3" t="inlineStr">
        <is>
          <t>2030년 최대 Capa 기준 Noplat은 유지하나 배수를 기존 50배에서 35배로 하향했다. 3분기 실적은 시장 기대치를 하회할 전망이다. 다만 기존 시장 눈높이가 높았던 영향이며 전사적인 증익 기조는 여전히 유지될 수 있다.</t>
        </is>
      </c>
      <c r="N11" s="3" t="inlineStr">
        <is>
          <t>2026-10-16_하나증권_두산에너빌리티_연내 SMR 추가 수주 기대.pdf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3" customWidth="1" min="1" max="1"/>
    <col width="21" customWidth="1" min="2" max="2"/>
    <col width="12" customWidth="1" min="3" max="3"/>
    <col width="25" customWidth="1" min="4" max="4"/>
    <col width="25" customWidth="1" min="5" max="5"/>
    <col width="25" customWidth="1" min="6" max="6"/>
    <col width="13" customWidth="1" min="7" max="7"/>
    <col width="32" customWidth="1" min="8" max="8"/>
    <col width="13" customWidth="1" min="9" max="9"/>
    <col width="13" customWidth="1" min="10" max="10"/>
    <col width="12" customWidth="1" min="11" max="11"/>
  </cols>
  <sheetData>
    <row r="1">
      <c r="A1" s="1" t="inlineStr">
        <is>
          <t>추천일자</t>
        </is>
      </c>
      <c r="B1" s="1" t="inlineStr">
        <is>
          <t>종목명</t>
        </is>
      </c>
      <c r="C1" s="1" t="inlineStr">
        <is>
          <t>티커</t>
        </is>
      </c>
      <c r="D1" s="1" t="inlineStr">
        <is>
          <t>추천당시가</t>
        </is>
      </c>
      <c r="E1" s="1" t="inlineStr">
        <is>
          <t>매수추천가</t>
        </is>
      </c>
      <c r="F1" s="1" t="inlineStr">
        <is>
          <t>목표매도가</t>
        </is>
      </c>
      <c r="G1" s="1" t="inlineStr">
        <is>
          <t>손절기준가</t>
        </is>
      </c>
      <c r="H1" s="1" t="inlineStr">
        <is>
          <t>검증결과</t>
        </is>
      </c>
      <c r="I1" s="1" t="inlineStr">
        <is>
          <t>실현수익률</t>
        </is>
      </c>
      <c r="J1" s="1" t="inlineStr">
        <is>
          <t>최고도달가</t>
        </is>
      </c>
      <c r="K1" s="1" t="inlineStr">
        <is>
          <t>소요일수</t>
        </is>
      </c>
    </row>
    <row r="2">
      <c r="A2" s="2" t="inlineStr">
        <is>
          <t>2026-10-13</t>
        </is>
      </c>
      <c r="B2" s="2" t="inlineStr">
        <is>
          <t>현대차</t>
        </is>
      </c>
      <c r="C2" s="2" t="inlineStr">
        <is>
          <t>005380.KS</t>
        </is>
      </c>
      <c r="D2" s="3" t="inlineStr">
        <is>
          <t>315,000원</t>
        </is>
      </c>
      <c r="E2" s="3" t="inlineStr">
        <is>
          <t>312,000원</t>
        </is>
      </c>
      <c r="F2" s="3" t="inlineStr">
        <is>
          <t>349,500원</t>
        </is>
      </c>
      <c r="G2" s="3" t="inlineStr">
        <is>
          <t>304,000원</t>
        </is>
      </c>
      <c r="H2" s="3" t="inlineStr">
        <is>
          <t>🛑 손절 기준 터치</t>
        </is>
      </c>
      <c r="I2" s="3" t="inlineStr">
        <is>
          <t>-2.6%</t>
        </is>
      </c>
      <c r="J2" s="3" t="inlineStr">
        <is>
          <t>321,500원</t>
        </is>
      </c>
      <c r="K2" s="3" t="inlineStr">
        <is>
          <t>2일차</t>
        </is>
      </c>
    </row>
    <row r="3">
      <c r="A3" s="2" t="inlineStr">
        <is>
          <t>2026-10-13</t>
        </is>
      </c>
      <c r="B3" s="2" t="inlineStr">
        <is>
          <t>기아</t>
        </is>
      </c>
      <c r="C3" s="2" t="inlineStr">
        <is>
          <t>000270.KS</t>
        </is>
      </c>
      <c r="D3" s="3" t="inlineStr">
        <is>
          <t>108,500원</t>
        </is>
      </c>
      <c r="E3" s="3" t="inlineStr">
        <is>
          <t>107,000원</t>
        </is>
      </c>
      <c r="F3" s="3" t="inlineStr">
        <is>
          <t>115,500원</t>
        </is>
      </c>
      <c r="G3" s="3" t="inlineStr">
        <is>
          <t>104,500원</t>
        </is>
      </c>
      <c r="H3" s="3" t="inlineStr">
        <is>
          <t>⏳ 목표가 추적 중</t>
        </is>
      </c>
      <c r="I3" s="3" t="inlineStr">
        <is>
          <t>+3.6%</t>
        </is>
      </c>
      <c r="J3" s="3" t="inlineStr">
        <is>
          <t>111,100원</t>
        </is>
      </c>
      <c r="K3" s="3" t="inlineStr">
        <is>
          <t>3일 경과</t>
        </is>
      </c>
    </row>
    <row r="4">
      <c r="A4" s="2" t="inlineStr">
        <is>
          <t>2026-10-13</t>
        </is>
      </c>
      <c r="B4" s="2" t="inlineStr">
        <is>
          <t>NAVER</t>
        </is>
      </c>
      <c r="C4" s="2" t="inlineStr">
        <is>
          <t>035420.KS</t>
        </is>
      </c>
      <c r="D4" s="3" t="inlineStr">
        <is>
          <t>178,000원</t>
        </is>
      </c>
      <c r="E4" s="3" t="inlineStr">
        <is>
          <t>176,000원</t>
        </is>
      </c>
      <c r="F4" s="3" t="inlineStr">
        <is>
          <t>193,000원</t>
        </is>
      </c>
      <c r="G4" s="3" t="inlineStr">
        <is>
          <t>172,000원</t>
        </is>
      </c>
      <c r="H4" s="3" t="inlineStr">
        <is>
          <t>⏳ 목표가 추적 중</t>
        </is>
      </c>
      <c r="I4" s="3" t="inlineStr">
        <is>
          <t>+3.1%</t>
        </is>
      </c>
      <c r="J4" s="3" t="inlineStr">
        <is>
          <t>183,200원</t>
        </is>
      </c>
      <c r="K4" s="3" t="inlineStr">
        <is>
          <t>3일 경과</t>
        </is>
      </c>
    </row>
    <row r="5">
      <c r="A5" s="2" t="inlineStr">
        <is>
          <t>2026-10-13</t>
        </is>
      </c>
      <c r="B5" s="2" t="inlineStr">
        <is>
          <t>카카오</t>
        </is>
      </c>
      <c r="C5" s="2" t="inlineStr">
        <is>
          <t>035720.KS</t>
        </is>
      </c>
      <c r="D5" s="3" t="inlineStr">
        <is>
          <t>31,300원</t>
        </is>
      </c>
      <c r="E5" s="3" t="inlineStr">
        <is>
          <t>31,000원</t>
        </is>
      </c>
      <c r="F5" s="3" t="inlineStr">
        <is>
          <t>33,200원</t>
        </is>
      </c>
      <c r="G5" s="3" t="inlineStr">
        <is>
          <t>30,200원</t>
        </is>
      </c>
      <c r="H5" s="3" t="inlineStr">
        <is>
          <t>⏳ 목표가 추적 중</t>
        </is>
      </c>
      <c r="I5" s="3" t="inlineStr">
        <is>
          <t>+4.7%</t>
        </is>
      </c>
      <c r="J5" s="3" t="inlineStr">
        <is>
          <t>32,450원</t>
        </is>
      </c>
      <c r="K5" s="3" t="inlineStr">
        <is>
          <t>3일 경과</t>
        </is>
      </c>
    </row>
    <row r="6">
      <c r="A6" s="2" t="inlineStr">
        <is>
          <t>2026-10-13</t>
        </is>
      </c>
      <c r="B6" s="2" t="inlineStr">
        <is>
          <t>한화에어로스페이스</t>
        </is>
      </c>
      <c r="C6" s="2" t="inlineStr">
        <is>
          <t>012450.KS</t>
        </is>
      </c>
      <c r="D6" s="3" t="inlineStr">
        <is>
          <t>839,000원</t>
        </is>
      </c>
      <c r="E6" s="3" t="inlineStr">
        <is>
          <t>830,500원</t>
        </is>
      </c>
      <c r="F6" s="3" t="inlineStr">
        <is>
          <t>1,012,000원</t>
        </is>
      </c>
      <c r="G6" s="3" t="inlineStr">
        <is>
          <t>809,500원</t>
        </is>
      </c>
      <c r="H6" s="3" t="inlineStr">
        <is>
          <t>⏳ 목표가 추적 중</t>
        </is>
      </c>
      <c r="I6" s="3" t="inlineStr">
        <is>
          <t>+9.1%</t>
        </is>
      </c>
      <c r="J6" s="3" t="inlineStr">
        <is>
          <t>910,000원</t>
        </is>
      </c>
      <c r="K6" s="3" t="inlineStr">
        <is>
          <t>3일 경과</t>
        </is>
      </c>
    </row>
    <row r="7">
      <c r="A7" s="2" t="inlineStr">
        <is>
          <t>2026-10-13</t>
        </is>
      </c>
      <c r="B7" s="2" t="inlineStr">
        <is>
          <t>POSCO홀딩스</t>
        </is>
      </c>
      <c r="C7" s="2" t="inlineStr">
        <is>
          <t>005490.KS</t>
        </is>
      </c>
      <c r="D7" s="3" t="inlineStr">
        <is>
          <t>299,000원</t>
        </is>
      </c>
      <c r="E7" s="3" t="inlineStr">
        <is>
          <t>296,000원</t>
        </is>
      </c>
      <c r="F7" s="3" t="inlineStr">
        <is>
          <t>317,000원</t>
        </is>
      </c>
      <c r="G7" s="3" t="inlineStr">
        <is>
          <t>288,500원</t>
        </is>
      </c>
      <c r="H7" s="3" t="inlineStr">
        <is>
          <t>⏳ 목표가 추적 중</t>
        </is>
      </c>
      <c r="I7" s="3" t="inlineStr">
        <is>
          <t>+1.0%</t>
        </is>
      </c>
      <c r="J7" s="3" t="inlineStr">
        <is>
          <t>312,000원</t>
        </is>
      </c>
      <c r="K7" s="3" t="inlineStr">
        <is>
          <t>3일 경과</t>
        </is>
      </c>
    </row>
    <row r="8">
      <c r="A8" s="2" t="inlineStr">
        <is>
          <t>2026-10-14</t>
        </is>
      </c>
      <c r="B8" s="2" t="inlineStr">
        <is>
          <t>한미약품</t>
        </is>
      </c>
      <c r="C8" s="2" t="inlineStr">
        <is>
          <t>128940.KS</t>
        </is>
      </c>
      <c r="D8" s="3" t="inlineStr">
        <is>
          <t>404,500원</t>
        </is>
      </c>
      <c r="E8" s="3" t="inlineStr">
        <is>
          <t>400,500원</t>
        </is>
      </c>
      <c r="F8" s="3" t="inlineStr">
        <is>
          <t>483,500원</t>
        </is>
      </c>
      <c r="G8" s="3" t="inlineStr">
        <is>
          <t>390,500원</t>
        </is>
      </c>
      <c r="H8" s="3" t="inlineStr">
        <is>
          <t>🛑 손절 기준 터치</t>
        </is>
      </c>
      <c r="I8" s="3" t="inlineStr">
        <is>
          <t>-2.5%</t>
        </is>
      </c>
      <c r="J8" s="3" t="inlineStr">
        <is>
          <t>406,500원</t>
        </is>
      </c>
      <c r="K8" s="3" t="inlineStr">
        <is>
          <t>1일차</t>
        </is>
      </c>
    </row>
    <row r="9">
      <c r="A9" s="2" t="inlineStr">
        <is>
          <t>2026-10-14</t>
        </is>
      </c>
      <c r="B9" s="2" t="inlineStr">
        <is>
          <t>KT</t>
        </is>
      </c>
      <c r="C9" s="2" t="inlineStr">
        <is>
          <t>030200.KS</t>
        </is>
      </c>
      <c r="D9" s="3" t="inlineStr">
        <is>
          <t>49,900원</t>
        </is>
      </c>
      <c r="E9" s="3" t="inlineStr">
        <is>
          <t>49,400원</t>
        </is>
      </c>
      <c r="F9" s="3" t="inlineStr">
        <is>
          <t>52,900원</t>
        </is>
      </c>
      <c r="G9" s="3" t="inlineStr">
        <is>
          <t>48,200원</t>
        </is>
      </c>
      <c r="H9" s="3" t="inlineStr">
        <is>
          <t>⏳ 목표가 추적 중</t>
        </is>
      </c>
      <c r="I9" s="3" t="inlineStr">
        <is>
          <t>+3.0%</t>
        </is>
      </c>
      <c r="J9" s="3" t="inlineStr">
        <is>
          <t>51,500원</t>
        </is>
      </c>
      <c r="K9" s="3" t="inlineStr">
        <is>
          <t>2일 경과</t>
        </is>
      </c>
    </row>
    <row r="10">
      <c r="A10" s="2" t="inlineStr">
        <is>
          <t>2026-10-14</t>
        </is>
      </c>
      <c r="B10" s="2" t="inlineStr">
        <is>
          <t>SK텔레콤</t>
        </is>
      </c>
      <c r="C10" s="2" t="inlineStr">
        <is>
          <t>017670.KS</t>
        </is>
      </c>
      <c r="D10" s="3" t="inlineStr">
        <is>
          <t>81,900원</t>
        </is>
      </c>
      <c r="E10" s="3" t="inlineStr">
        <is>
          <t>81,100원</t>
        </is>
      </c>
      <c r="F10" s="3" t="inlineStr">
        <is>
          <t>86,800원</t>
        </is>
      </c>
      <c r="G10" s="3" t="inlineStr">
        <is>
          <t>79,000원</t>
        </is>
      </c>
      <c r="H10" s="3" t="inlineStr">
        <is>
          <t>🛑 손절 기준 터치</t>
        </is>
      </c>
      <c r="I10" s="3" t="inlineStr">
        <is>
          <t>-2.6%</t>
        </is>
      </c>
      <c r="J10" s="3" t="inlineStr">
        <is>
          <t>79,600원</t>
        </is>
      </c>
      <c r="K10" s="3" t="inlineStr">
        <is>
          <t>1일차</t>
        </is>
      </c>
    </row>
    <row r="11">
      <c r="A11" s="2" t="inlineStr">
        <is>
          <t>2026-10-14</t>
        </is>
      </c>
      <c r="B11" s="2" t="inlineStr">
        <is>
          <t>삼성중공업</t>
        </is>
      </c>
      <c r="C11" s="2" t="inlineStr">
        <is>
          <t>010140.KS</t>
        </is>
      </c>
      <c r="D11" s="3" t="inlineStr">
        <is>
          <t>19,000원</t>
        </is>
      </c>
      <c r="E11" s="3" t="inlineStr">
        <is>
          <t>18,800원</t>
        </is>
      </c>
      <c r="F11" s="3" t="inlineStr">
        <is>
          <t>20,100원</t>
        </is>
      </c>
      <c r="G11" s="3" t="inlineStr">
        <is>
          <t>18,300원</t>
        </is>
      </c>
      <c r="H11" s="3" t="inlineStr">
        <is>
          <t>🛑 손절 기준 터치</t>
        </is>
      </c>
      <c r="I11" s="3" t="inlineStr">
        <is>
          <t>-2.7%</t>
        </is>
      </c>
      <c r="J11" s="3" t="inlineStr">
        <is>
          <t>18,790원</t>
        </is>
      </c>
      <c r="K11" s="3" t="inlineStr">
        <is>
          <t>1일차</t>
        </is>
      </c>
    </row>
    <row r="12">
      <c r="A12" s="2" t="inlineStr">
        <is>
          <t>2026-10-15</t>
        </is>
      </c>
      <c r="B12" s="2" t="inlineStr">
        <is>
          <t>엔비디아 (NVIDIA)</t>
        </is>
      </c>
      <c r="C12" s="2" t="inlineStr">
        <is>
          <t>NVDA</t>
        </is>
      </c>
      <c r="D12" s="3" t="inlineStr">
        <is>
          <t>$221.30 (약 297,296원)</t>
        </is>
      </c>
      <c r="E12" s="3" t="inlineStr">
        <is>
          <t>$217.98 (약 292,837원)</t>
        </is>
      </c>
      <c r="F12" s="3" t="inlineStr">
        <is>
          <t>$254.50 (약 341,891원)</t>
        </is>
      </c>
      <c r="G12" s="3" t="inlineStr">
        <is>
          <t>$206.61</t>
        </is>
      </c>
      <c r="H12" s="3" t="inlineStr">
        <is>
          <t>⏳ 목표가 추적 중 (신규 진입)</t>
        </is>
      </c>
      <c r="I12" s="3" t="inlineStr">
        <is>
          <t>-0.3%</t>
        </is>
      </c>
      <c r="J12" s="3" t="inlineStr">
        <is>
          <t>$217.23</t>
        </is>
      </c>
      <c r="K12" s="3" t="inlineStr">
        <is>
          <t>1일차</t>
        </is>
      </c>
    </row>
    <row r="13">
      <c r="A13" s="2" t="inlineStr">
        <is>
          <t>2026-10-16</t>
        </is>
      </c>
      <c r="B13" s="2" t="inlineStr">
        <is>
          <t>엔비디아 (NVIDIA)</t>
        </is>
      </c>
      <c r="C13" s="2" t="inlineStr">
        <is>
          <t>NVDA</t>
        </is>
      </c>
      <c r="D13" s="3" t="inlineStr">
        <is>
          <t>$217.23 (약 291,713원)</t>
        </is>
      </c>
      <c r="E13" s="3" t="inlineStr">
        <is>
          <t>$213.97 (약 287,338원)</t>
        </is>
      </c>
      <c r="F13" s="3" t="inlineStr">
        <is>
          <t>$249.81 (약 335,470원)</t>
        </is>
      </c>
      <c r="G13" s="3" t="inlineStr">
        <is>
          <t>$206.61</t>
        </is>
      </c>
      <c r="H13" s="3" t="inlineStr">
        <is>
          <t>⏳ 목표가 추적 중 (신규 진입)</t>
        </is>
      </c>
      <c r="I13" s="3" t="inlineStr">
        <is>
          <t>+1.5%</t>
        </is>
      </c>
      <c r="J13" s="3" t="inlineStr">
        <is>
          <t>$217.23</t>
        </is>
      </c>
      <c r="K13" s="3" t="inlineStr">
        <is>
          <t>1일차</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31" customWidth="1" min="1" max="1"/>
    <col width="14" customWidth="1" min="2" max="2"/>
    <col width="12" customWidth="1" min="3" max="3"/>
    <col width="63" customWidth="1" min="4" max="4"/>
    <col width="57" customWidth="1" min="5" max="5"/>
    <col width="13" customWidth="1" min="6" max="6"/>
    <col width="32" customWidth="1" min="7" max="7"/>
    <col width="53" customWidth="1" min="8" max="8"/>
  </cols>
  <sheetData>
    <row r="1">
      <c r="A1" s="1" t="inlineStr">
        <is>
          <t>공시구분</t>
        </is>
      </c>
      <c r="B1" s="1" t="inlineStr">
        <is>
          <t>공시배지</t>
        </is>
      </c>
      <c r="C1" s="1" t="inlineStr">
        <is>
          <t>관련기업</t>
        </is>
      </c>
      <c r="D1" s="1" t="inlineStr">
        <is>
          <t>공시제목</t>
        </is>
      </c>
      <c r="E1" s="1" t="inlineStr">
        <is>
          <t>영향전망</t>
        </is>
      </c>
      <c r="F1" s="1" t="inlineStr">
        <is>
          <t>언론사</t>
        </is>
      </c>
      <c r="G1" s="1" t="inlineStr">
        <is>
          <t>공시일시</t>
        </is>
      </c>
      <c r="H1" s="1" t="inlineStr">
        <is>
          <t>링크</t>
        </is>
      </c>
    </row>
    <row r="2">
      <c r="A2" s="2" t="inlineStr">
        <is>
          <t>📈 대규모 단일판매·공급계약</t>
        </is>
      </c>
      <c r="B2" s="2" t="inlineStr">
        <is>
          <t>대규모 수주</t>
        </is>
      </c>
      <c r="C2" s="2" t="inlineStr">
        <is>
          <t>한전기술</t>
        </is>
      </c>
      <c r="D2" s="3" t="inlineStr">
        <is>
          <t>[2020년 1월]한전기술, 한국수력원자력과 264억원 규모 공급계약</t>
        </is>
      </c>
      <c r="E2" s="3" t="inlineStr">
        <is>
          <t>매출액 직결 확정 계약으로 향후 분기 실적 퀀텀점프 기대</t>
        </is>
      </c>
      <c r="F2" s="3" t="inlineStr">
        <is>
          <t>데이터투자</t>
        </is>
      </c>
      <c r="G2" s="3" t="inlineStr">
        <is>
          <t>Fri, 16 Oct 2026 01:09:27 GMT</t>
        </is>
      </c>
      <c r="H2" s="3" t="inlineStr">
        <is>
          <t>https://news.google.com/rss/articles/CBMic0FVX3lxTFBXbjlIU0FfdUxHNUhLNUlkRm5LYkFaaHhLdXRDUWVaanlIVzVreFFXaXRvbHZGanZ6Z2hPOXplVnVnUkloeG9fQ2QyTV9VcU95Y044SDFDYTdUc2czSEI2REwxenhheEEtMGI2S0FpbURZbTA?oc=5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cols>
    <col width="25" customWidth="1" min="1" max="1"/>
    <col width="16" customWidth="1" min="2" max="2"/>
    <col width="65" customWidth="1" min="3" max="3"/>
    <col width="13" customWidth="1" min="4" max="4"/>
    <col width="65" customWidth="1" min="5" max="5"/>
    <col width="65" customWidth="1" min="6" max="6"/>
    <col width="65" customWidth="1" min="7" max="7"/>
    <col width="65" customWidth="1" min="8" max="8"/>
    <col width="65" customWidth="1" min="9" max="9"/>
    <col width="65" customWidth="1" min="10" max="10"/>
    <col width="14" customWidth="1" min="11" max="11"/>
    <col width="53" customWidth="1" min="12" max="12"/>
  </cols>
  <sheetData>
    <row r="1">
      <c r="A1" s="1" t="inlineStr">
        <is>
          <t>트랙구분</t>
        </is>
      </c>
      <c r="B1" s="1" t="inlineStr">
        <is>
          <t>배지</t>
        </is>
      </c>
      <c r="C1" s="1" t="inlineStr">
        <is>
          <t>리포트제목</t>
        </is>
      </c>
      <c r="D1" s="1" t="inlineStr">
        <is>
          <t>핵심키워드</t>
        </is>
      </c>
      <c r="E1" s="1" t="inlineStr">
        <is>
          <t>핵심요약</t>
        </is>
      </c>
      <c r="F1" s="1" t="inlineStr">
        <is>
          <t>1_이슈개요_및_현황</t>
        </is>
      </c>
      <c r="G1" s="1" t="inlineStr">
        <is>
          <t>2_발단_및_누적타임라인</t>
        </is>
      </c>
      <c r="H1" s="1" t="inlineStr">
        <is>
          <t>3_이면의구조_및_이해관계</t>
        </is>
      </c>
      <c r="I1" s="1" t="inlineStr">
        <is>
          <t>4_시장파장_및_향후전망</t>
        </is>
      </c>
      <c r="J1" s="1" t="inlineStr">
        <is>
          <t>핵심용어사전</t>
        </is>
      </c>
      <c r="K1" s="1" t="inlineStr">
        <is>
          <t>언론사/출처</t>
        </is>
      </c>
      <c r="L1" s="1" t="inlineStr">
        <is>
          <t>원문링크</t>
        </is>
      </c>
    </row>
    <row r="2">
      <c r="A2" s="2" t="inlineStr">
        <is>
          <t>경제·사회 심층 분석</t>
        </is>
      </c>
      <c r="B2" s="2" t="inlineStr">
        <is>
          <t>심층 분석</t>
        </is>
      </c>
      <c r="C2" s="2" t="inlineStr">
        <is>
          <t>🌐 [경제·사회 심층 리포트] AI 안경의 숨겨진 배경과 구조적 쟁점</t>
        </is>
      </c>
      <c r="D2" s="3" t="inlineStr">
        <is>
          <t>AI 안경</t>
        </is>
      </c>
      <c r="E2" s="3" t="inlineStr">
        <is>
          <t>단순 뉴스 헤드라인을 넘어선 전후 맥락: 'AI 안경' 이슈가 촉발된 진짜 배경과 이해관계자들의 득실 계산을 분석합니다.</t>
        </is>
      </c>
      <c r="F2" s="3" t="inlineStr">
        <is>
          <t>오늘 주요 언론을 통해 집중 조명된 핵심 사안은 바로 **[수능서 'AI 안경' 착용만 해도 시험 무효·내년 응시자격 정지]** 입니다.&lt;br&gt;• &lt;b&gt;핵심 현황:&lt;/b&gt; 수능서 'AI 안경' 착용만 해도 시험 무효·내년 응시자격 정지.&lt;br&gt;• &lt;b&gt;왜 중요한가:&lt;/b&gt; 단순한 단발성 소식이 아니라 정부 정책, 규제 환경, 기업들의 실질적 손익과 직결되어 시장 전반에 큰 파장을 일으키고 있기 때문입니다.</t>
        </is>
      </c>
      <c r="G2" s="3" t="inlineStr">
        <is>
          <t>이 문제는 오늘 갑자기 발생한 사안이 아니라, 과거부터 축적되어 온 구조적 원인이 있습니다.&lt;br&gt;• &lt;b&gt;과거 배경:&lt;/b&gt; "눈만 깜빡이면 결제"…알리바바 가세에 불붙은 AI 안경 전쟁 한국경제. "AI 글래스 쓰고 오면 평생 출입 금지"…'메타 AI 안경'이 美 클럽에서 퇴출당한 이유 AI포스트.&lt;br&gt;• &lt;b&gt;결정적 계기:&lt;/b&gt; 잠재되어 있던 제도적 갈등과 시장 환경의 변화가 맞물리면서, 이번 계기를 통해 본격적으로 수면 위로 표출되었습니다.</t>
        </is>
      </c>
      <c r="H2" s="3" t="inlineStr">
        <is>
          <t>겉으로 보이는 명분 뒤에는 각 주체들의 아주 명확한 '실질적 손익 계산'이 숨어 있습니다.&lt;br&gt;• &lt;b&gt;이해관계 분석:&lt;/b&gt; 경기연구원, AI 안경 확산에 맞춘 조건부 수용 방안 제시 전국매일신문. ‘AI 안경’ 시대 열렸다...메타 700만대 돌파, 삼성·구글 가세 코리아리포트.&lt;br&gt;• &lt;b&gt;핵심 구조:&lt;/b&gt; 규제 당국은 시장 통제력과 정책 주도권을 강화하려 하고, 관련 기업들은 비용 부담을 줄이고 수익성을 지키기 위해 치열한 수싸움을 벌이고 있는 구도입니다.</t>
        </is>
      </c>
      <c r="I2" s="3" t="inlineStr">
        <is>
          <t>앞으로 시장과 투자자 관점에서 눈여겨보아야 할 핵심 체크포인트입니다.&lt;br&gt;• &lt;b&gt;시장 파장:&lt;/b&gt; 단기적인 주가 출렁임을 넘어, 관련 산업의 밸류체인과 지형도를 재편하는 기폭제가 될 수 있습니다.&lt;br&gt;• &lt;b&gt;관전 포인트:&lt;/b&gt; 향후 발표될 세부 가이드라인과 주요 일정에 따라 관련 기업들의 실적 희비가 크게 엇갈릴 전망이므로 면밀한 추적이 필요합니다.</t>
        </is>
      </c>
      <c r="J2" s="3" t="inlineStr">
        <is>
          <t>📌 **구조적 수혜(Structural Beneficiary)**: 단기적 유행이 아닌, 국가 정책이나 글로벌 지정학적 공급망 재편에 따라 수년간 장기적인 성장을 누리게 되는 산업 생태계 현상입니다.</t>
        </is>
      </c>
      <c r="K2" s="3" t="inlineStr">
        <is>
          <t>연합뉴스</t>
        </is>
      </c>
      <c r="L2" s="3" t="inlineStr">
        <is>
          <t>https://news.google.com/rss/articles/CBMiW0FVX3lxTFBuSGFWRmlKZGdoVl9mQW9BNUtGOHZvVTYyMDE0V3JHM2RrSXRjRERrTWp4cjJHZUhaYnp5Wml5VUdYUFVCMG44VF9QYTVwZDR5RVlMeWpObkxPcFXSAWBBVV95cUxPVW5RUXhoVjJ0c01CN1p0MlFXakw2blVRRU1RVGFQVV8xMEJGblNKZURuWFZjREMtc0FaY21vQS0zTXl4b2RHWnJZQXBLT0xnWU9kYy16b19IX1pRXzZqOHI?oc=5</t>
        </is>
      </c>
    </row>
    <row r="3">
      <c r="A3" s="2" t="inlineStr">
        <is>
          <t>트렌드 &amp; 소비 인사이트</t>
        </is>
      </c>
      <c r="B3" s="2" t="inlineStr">
        <is>
          <t>트렌드 포커스</t>
        </is>
      </c>
      <c r="C3" s="2" t="inlineStr">
        <is>
          <t>🔥 [트렌드 &amp; 소비 인사이트] ‘오픈런’ 열풍의 배경과 소비 심리 분석</t>
        </is>
      </c>
      <c r="D3" s="3" t="inlineStr">
        <is>
          <t>‘오픈런’</t>
        </is>
      </c>
      <c r="E3" s="3" t="inlineStr">
        <is>
          <t>요즘 왜 난리일까? '‘오픈런’' 품절 대란과 오픈런 이면에 숨은 소비 심리와 바이럴 구조를 짚어봅니다.</t>
        </is>
      </c>
      <c r="F3" s="3" t="inlineStr">
        <is>
          <t>지금 거리와 SNS에서 소비자들이 가장 열광하고 있는 화제의 중심은 단연 **[‘오픈런’ 사라진 국민성장펀드…증시 널뛰기, 수익율 저조에 ‘완판 실패’]** 입니다.&lt;br&gt;• &lt;b&gt;트렌드 현황:&lt;/b&gt; ‘오픈런’ 사라진 국민성장펀드…증시 널뛰기, 수익율 저조에 ‘완판 실패’ 중앙일보.&lt;br&gt;• &lt;b&gt;열풍의 온도:&lt;/b&gt; 매장 문이 열리기 전부터 줄을 서는 '오픈런'과 온라인 품절 사태가 잇따르며, 단순한 유행을 넘어 하나의 강력한 문화적 현상으로 자리 잡았습니다.</t>
        </is>
      </c>
      <c r="G3" s="3" t="inlineStr">
        <is>
          <t>이 유행은 과연 어디서부터 시작되었을까요? 시작점을 추적해 보면 아주 흥미로운 바이럴 계기가 있습니다.&lt;br&gt;• &lt;b&gt;시작 비화:&lt;/b&gt; 귀여워서 보게되고, 공감해서 모은다? '1개 7500원' 찹쌀떡 오픈런 줄에 입이 '떡'…'떡지순례'가 뜨는 이유 - 머니투데이 머니투데이.&lt;br&gt;• &lt;b&gt;확산 과정:&lt;/b&gt; 초기에는 특정 매니아층 사이의 호기심으로 시작되었으나, 틱톡·릴스 등 숏폼 영상 알고리즘을 타며 '나도 경험해봐야 한다'는 대중적 열풍으로 급격히 번져나갔습니다.</t>
        </is>
      </c>
      <c r="H3" s="3" t="inlineStr">
        <is>
          <t>소비자들이 기꺼이 시간과 비용을 들여 줄을 서는 심리적 이유를 쉽게 풀어보았습니다.&lt;br&gt;• &lt;b&gt;소비 심리:&lt;/b&gt; 주담대 오픈런?" 안 잡히는 집값에 대출 '반토막'으로 줄인다. '이것' 사려고 오픈런까지…2030 동묘로 몰려드는 이유 한국경제.&lt;br&gt;• &lt;b&gt;심리적 기제:&lt;/b&gt; 단순히 제품의 기능 때문이 아니라, '희소한 트렌드를 남들보다 빠르게 경험하고 인증했다'는 심리적 만족감과 소속감(동조 소비 및 포모(FOMO) 심리)이 지갑을 열게 만드는 핵심 동기입니다.</t>
        </is>
      </c>
      <c r="I3" s="3" t="inlineStr">
        <is>
          <t>이 열풍이 유통업계에 미친 영향과 향후 지속 가능성에 대한 전망입니다.&lt;br&gt;• &lt;b&gt;유통가 파장:&lt;/b&gt; 편의점, 백화점, 패션·식음료 브랜드들이 앞다퉈 컬래버레이션 팝업스토어를 유치하며 고객 유입에 사활을 걸고 있습니다.&lt;br&gt;• &lt;b&gt;지속 가능성:&lt;/b&gt; 반짝 유행(Fad)에 그치지 않고 장기적인 메가 트렌드로 안착하려면, 일회성 화제성을 넘어 본질적인 품질 만족도와 지속적인 팬덤 관리가 뒷받침되어야 합니다.</t>
        </is>
      </c>
      <c r="J3" s="3" t="inlineStr">
        <is>
          <t>📌 **오픈런(Open Run)**: 매장 영업이 시작되자마자 한정판이나 희소 상품을 선점하기 위해 새벽부터 줄을 서서 달려가는 소비 현상입니다.</t>
        </is>
      </c>
      <c r="K3" s="3" t="inlineStr">
        <is>
          <t>중앙일보</t>
        </is>
      </c>
      <c r="L3" s="3" t="inlineStr">
        <is>
          <t>https://news.google.com/rss/articles/CBMiVkFVX3lxTFA1RGFENWtIY1Q0blR3RmF6Z09MOS1WVENoc3h4RTMyMWVTQUIzREt0dENMSFJIbjFlR091b1NOeEI4WTRQbGNEaklJbjhzaGtmaWRBY0ZB?oc=5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2026-10-16T01:25:45Z</dcterms:created>
  <dcterms:modified xmlns:dcterms="http://purl.org/dc/terms/" xmlns:xsi="http://www.w3.org/2001/XMLSchema-instance" xsi:type="dcterms:W3CDTF">2026-10-16T01:25:46Z</dcterms:modified>
</cp:coreProperties>
</file>